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e\Documents\"/>
    </mc:Choice>
  </mc:AlternateContent>
  <xr:revisionPtr revIDLastSave="0" documentId="13_ncr:1_{3B24B9DA-B8E0-4952-9E46-3ED6727B19AB}" xr6:coauthVersionLast="47" xr6:coauthVersionMax="47" xr10:uidLastSave="{00000000-0000-0000-0000-000000000000}"/>
  <bookViews>
    <workbookView xWindow="-96" yWindow="-96" windowWidth="23232" windowHeight="12552" xr2:uid="{148AF667-DC6C-4B8D-9EAC-7A2CB207E3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J6" i="1" s="1"/>
  <c r="H3" i="1"/>
  <c r="L3" i="1" l="1"/>
  <c r="N3" i="1" l="1"/>
  <c r="P3" i="1" s="1"/>
  <c r="R3" i="1" s="1"/>
  <c r="R9" i="1" s="1"/>
  <c r="N13" i="1"/>
  <c r="R13" i="1" s="1"/>
  <c r="T13" i="1" s="1"/>
  <c r="L6" i="1"/>
  <c r="T3" i="1" l="1"/>
</calcChain>
</file>

<file path=xl/sharedStrings.xml><?xml version="1.0" encoding="utf-8"?>
<sst xmlns="http://schemas.openxmlformats.org/spreadsheetml/2006/main" count="24" uniqueCount="24">
  <si>
    <t xml:space="preserve">Fan Wattage </t>
  </si>
  <si>
    <t>Fan CFM</t>
  </si>
  <si>
    <t>Fan l/s</t>
  </si>
  <si>
    <t>Air Density kg/m3</t>
  </si>
  <si>
    <t>Specific Humidity (g (water)/kg (air))</t>
  </si>
  <si>
    <t>Volumetric Humidity (g (water) / L (air))</t>
  </si>
  <si>
    <t>Air Density kg/L</t>
  </si>
  <si>
    <t>Desiccant System Efficiency</t>
  </si>
  <si>
    <t>g/s of Water</t>
  </si>
  <si>
    <t>J/g of Water</t>
  </si>
  <si>
    <t>g/min</t>
  </si>
  <si>
    <t>g/hour</t>
  </si>
  <si>
    <t>g/day</t>
  </si>
  <si>
    <t>g/12 hours</t>
  </si>
  <si>
    <t>Target g/12 hours</t>
  </si>
  <si>
    <t>Target Factor Improvement</t>
  </si>
  <si>
    <t>Temperature</t>
  </si>
  <si>
    <t>Relative Humidity</t>
  </si>
  <si>
    <t>g(water) / kg(air)</t>
  </si>
  <si>
    <t>Water heat of vaporization (j/g)</t>
  </si>
  <si>
    <t>Deabsorption Wattage</t>
  </si>
  <si>
    <t>Sunlight W/m2</t>
  </si>
  <si>
    <t>m2 required</t>
  </si>
  <si>
    <t>cm^2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</si>
</sst>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9" fontId="0" fillId="0" borderId="0" xfId="1" applyFont="1"/>
    <xf numFmtId="9" fontId="0" fillId="2" borderId="0" xfId="1" applyFont="1" applyFill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B4E2-6C50-4D1D-9902-8D0771B8A7CD}">
  <dimension ref="A2:T36"/>
  <sheetViews>
    <sheetView tabSelected="1" topLeftCell="F1" workbookViewId="0">
      <selection activeCell="L3" sqref="L3"/>
    </sheetView>
  </sheetViews>
  <sheetFormatPr defaultRowHeight="14.4" x14ac:dyDescent="0.55000000000000004"/>
  <cols>
    <col min="1" max="1" width="11.3125" customWidth="1"/>
    <col min="2" max="2" width="15.05078125" customWidth="1"/>
    <col min="3" max="3" width="14.5234375" customWidth="1"/>
    <col min="4" max="4" width="28.5234375" customWidth="1"/>
    <col min="6" max="6" width="17.734375" customWidth="1"/>
    <col min="8" max="8" width="17.7890625" customWidth="1"/>
    <col min="10" max="10" width="30.05078125" customWidth="1"/>
    <col min="12" max="12" width="21.89453125" customWidth="1"/>
    <col min="14" max="14" width="11.62890625" customWidth="1"/>
  </cols>
  <sheetData>
    <row r="2" spans="1:20" x14ac:dyDescent="0.55000000000000004">
      <c r="D2" t="s">
        <v>0</v>
      </c>
      <c r="F2" t="s">
        <v>1</v>
      </c>
      <c r="H2" t="s">
        <v>2</v>
      </c>
      <c r="L2" t="s">
        <v>8</v>
      </c>
      <c r="N2" t="s">
        <v>10</v>
      </c>
      <c r="P2" t="s">
        <v>11</v>
      </c>
      <c r="R2" t="s">
        <v>13</v>
      </c>
      <c r="T2" t="s">
        <v>12</v>
      </c>
    </row>
    <row r="3" spans="1:20" x14ac:dyDescent="0.55000000000000004">
      <c r="D3" s="1">
        <v>1.7</v>
      </c>
      <c r="F3" s="1">
        <v>56.11</v>
      </c>
      <c r="H3">
        <f>F3*0.472</f>
        <v>26.483919999999998</v>
      </c>
      <c r="L3">
        <f>H3*(J6*J9)</f>
        <v>0.32442802000000004</v>
      </c>
      <c r="N3">
        <f>L3*60</f>
        <v>19.465681200000002</v>
      </c>
      <c r="P3">
        <f>N3*60</f>
        <v>1167.9408720000001</v>
      </c>
      <c r="R3">
        <f>P3*12</f>
        <v>14015.290464000002</v>
      </c>
      <c r="T3">
        <f>P3*24</f>
        <v>28030.580928000003</v>
      </c>
    </row>
    <row r="5" spans="1:20" x14ac:dyDescent="0.55000000000000004">
      <c r="D5" t="s">
        <v>4</v>
      </c>
      <c r="F5" t="s">
        <v>3</v>
      </c>
      <c r="H5" t="s">
        <v>6</v>
      </c>
      <c r="J5" t="s">
        <v>5</v>
      </c>
      <c r="L5" t="s">
        <v>9</v>
      </c>
      <c r="R5" t="s">
        <v>14</v>
      </c>
    </row>
    <row r="6" spans="1:20" x14ac:dyDescent="0.55000000000000004">
      <c r="D6" s="1">
        <v>10</v>
      </c>
      <c r="F6">
        <v>1.2250000000000001</v>
      </c>
      <c r="H6">
        <f>F6/1000</f>
        <v>1.2250000000000002E-3</v>
      </c>
      <c r="J6">
        <f>D6*H6</f>
        <v>1.2250000000000002E-2</v>
      </c>
      <c r="L6">
        <f>D3/L3</f>
        <v>5.2399912929838788</v>
      </c>
      <c r="R6">
        <v>10000</v>
      </c>
    </row>
    <row r="8" spans="1:20" x14ac:dyDescent="0.55000000000000004">
      <c r="A8" t="s">
        <v>16</v>
      </c>
      <c r="B8" t="s">
        <v>17</v>
      </c>
      <c r="C8" t="s">
        <v>18</v>
      </c>
      <c r="J8" t="s">
        <v>7</v>
      </c>
      <c r="R8" t="s">
        <v>15</v>
      </c>
    </row>
    <row r="9" spans="1:20" x14ac:dyDescent="0.55000000000000004">
      <c r="A9">
        <v>25</v>
      </c>
      <c r="B9" s="2">
        <v>0.5</v>
      </c>
      <c r="C9">
        <v>10</v>
      </c>
      <c r="J9" s="3">
        <v>1</v>
      </c>
      <c r="R9">
        <f>R6/R3</f>
        <v>0.71350643967645411</v>
      </c>
    </row>
    <row r="10" spans="1:20" x14ac:dyDescent="0.55000000000000004">
      <c r="A10">
        <v>25</v>
      </c>
      <c r="B10" s="2">
        <v>0.35</v>
      </c>
      <c r="C10">
        <v>7</v>
      </c>
    </row>
    <row r="11" spans="1:20" x14ac:dyDescent="0.55000000000000004">
      <c r="A11">
        <v>22</v>
      </c>
      <c r="B11" s="2">
        <v>0.25</v>
      </c>
      <c r="C11">
        <v>4.1399999999999997</v>
      </c>
    </row>
    <row r="12" spans="1:20" x14ac:dyDescent="0.55000000000000004">
      <c r="B12" s="2"/>
      <c r="L12" t="s">
        <v>19</v>
      </c>
      <c r="N12" t="s">
        <v>20</v>
      </c>
      <c r="P12" t="s">
        <v>21</v>
      </c>
      <c r="R12" t="s">
        <v>22</v>
      </c>
      <c r="T12" t="s">
        <v>23</v>
      </c>
    </row>
    <row r="13" spans="1:20" x14ac:dyDescent="0.55000000000000004">
      <c r="B13" s="2"/>
      <c r="L13">
        <v>2260</v>
      </c>
      <c r="N13" s="4">
        <f>L13*L3</f>
        <v>733.20732520000013</v>
      </c>
      <c r="P13">
        <v>1120</v>
      </c>
      <c r="R13">
        <f>N13/P13</f>
        <v>0.65464939750000006</v>
      </c>
      <c r="T13">
        <f>R13*100</f>
        <v>65.464939750000013</v>
      </c>
    </row>
    <row r="14" spans="1:20" x14ac:dyDescent="0.55000000000000004">
      <c r="B14" s="2"/>
    </row>
    <row r="15" spans="1:20" x14ac:dyDescent="0.55000000000000004">
      <c r="B15" s="2"/>
    </row>
    <row r="16" spans="1:20" x14ac:dyDescent="0.55000000000000004">
      <c r="B16" s="2"/>
    </row>
    <row r="17" spans="2:2" x14ac:dyDescent="0.55000000000000004">
      <c r="B17" s="2"/>
    </row>
    <row r="18" spans="2:2" x14ac:dyDescent="0.55000000000000004">
      <c r="B18" s="2"/>
    </row>
    <row r="19" spans="2:2" x14ac:dyDescent="0.55000000000000004">
      <c r="B19" s="2"/>
    </row>
    <row r="20" spans="2:2" x14ac:dyDescent="0.55000000000000004">
      <c r="B20" s="2"/>
    </row>
    <row r="21" spans="2:2" x14ac:dyDescent="0.55000000000000004">
      <c r="B21" s="2"/>
    </row>
    <row r="22" spans="2:2" x14ac:dyDescent="0.55000000000000004">
      <c r="B22" s="2"/>
    </row>
    <row r="23" spans="2:2" x14ac:dyDescent="0.55000000000000004">
      <c r="B23" s="2"/>
    </row>
    <row r="24" spans="2:2" x14ac:dyDescent="0.55000000000000004">
      <c r="B24" s="2"/>
    </row>
    <row r="25" spans="2:2" x14ac:dyDescent="0.55000000000000004">
      <c r="B25" s="2"/>
    </row>
    <row r="26" spans="2:2" x14ac:dyDescent="0.55000000000000004">
      <c r="B26" s="2"/>
    </row>
    <row r="27" spans="2:2" x14ac:dyDescent="0.55000000000000004">
      <c r="B27" s="2"/>
    </row>
    <row r="28" spans="2:2" x14ac:dyDescent="0.55000000000000004">
      <c r="B28" s="2"/>
    </row>
    <row r="29" spans="2:2" x14ac:dyDescent="0.55000000000000004">
      <c r="B29" s="2"/>
    </row>
    <row r="30" spans="2:2" x14ac:dyDescent="0.55000000000000004">
      <c r="B30" s="2"/>
    </row>
    <row r="31" spans="2:2" x14ac:dyDescent="0.55000000000000004">
      <c r="B31" s="2"/>
    </row>
    <row r="32" spans="2:2" x14ac:dyDescent="0.55000000000000004">
      <c r="B32" s="2"/>
    </row>
    <row r="33" spans="2:2" x14ac:dyDescent="0.55000000000000004">
      <c r="B33" s="2"/>
    </row>
    <row r="34" spans="2:2" x14ac:dyDescent="0.55000000000000004">
      <c r="B34" s="2"/>
    </row>
    <row r="35" spans="2:2" x14ac:dyDescent="0.55000000000000004">
      <c r="B35" s="2"/>
    </row>
    <row r="36" spans="2:2" x14ac:dyDescent="0.55000000000000004">
      <c r="B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</dc:creator>
  <cp:lastModifiedBy>will M</cp:lastModifiedBy>
  <dcterms:created xsi:type="dcterms:W3CDTF">2025-09-12T17:53:36Z</dcterms:created>
  <dcterms:modified xsi:type="dcterms:W3CDTF">2025-09-18T20:00:30Z</dcterms:modified>
</cp:coreProperties>
</file>