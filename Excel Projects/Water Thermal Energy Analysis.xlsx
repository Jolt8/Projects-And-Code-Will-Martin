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17DC15BCBA0753/Documents/"/>
    </mc:Choice>
  </mc:AlternateContent>
  <xr:revisionPtr revIDLastSave="93" documentId="8_{1DD2CEBC-D0E1-4B2C-A96F-C2C1466184AC}" xr6:coauthVersionLast="47" xr6:coauthVersionMax="47" xr10:uidLastSave="{22D3182D-F54C-46DD-B2B2-F87EA14C69E7}"/>
  <bookViews>
    <workbookView xWindow="-96" yWindow="-96" windowWidth="23232" windowHeight="12552" xr2:uid="{91B34557-FA76-474E-9F64-16E42918B43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R4" i="1"/>
  <c r="O4" i="1"/>
  <c r="M4" i="1"/>
  <c r="K4" i="1"/>
  <c r="I9" i="1" a="1"/>
  <c r="I9" i="1" s="1"/>
  <c r="K9" i="1" s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7" i="1"/>
  <c r="M7" i="1" s="1"/>
  <c r="K8" i="1"/>
  <c r="M8" i="1" s="1"/>
  <c r="K5" i="1"/>
  <c r="M5" i="1" s="1"/>
  <c r="K6" i="1"/>
  <c r="M6" i="1" s="1"/>
  <c r="B7" i="1"/>
  <c r="B4" i="1"/>
  <c r="B10" i="1" a="1"/>
  <c r="B10" i="1" l="1"/>
  <c r="O7" i="1" l="1"/>
  <c r="R7" i="1" s="1"/>
  <c r="T7" i="1" s="1"/>
  <c r="O9" i="1"/>
  <c r="R9" i="1" s="1"/>
  <c r="T9" i="1" s="1"/>
  <c r="O8" i="1"/>
  <c r="R8" i="1" s="1"/>
  <c r="T8" i="1" s="1"/>
  <c r="O5" i="1"/>
  <c r="R5" i="1" s="1"/>
  <c r="T5" i="1" s="1"/>
  <c r="O10" i="1"/>
  <c r="R10" i="1" s="1"/>
  <c r="T10" i="1" s="1"/>
  <c r="O11" i="1"/>
  <c r="R11" i="1" s="1"/>
  <c r="T11" i="1" s="1"/>
  <c r="O13" i="1"/>
  <c r="R13" i="1" s="1"/>
  <c r="T13" i="1" s="1"/>
  <c r="O14" i="1"/>
  <c r="R14" i="1" s="1"/>
  <c r="T14" i="1" s="1"/>
  <c r="O6" i="1"/>
  <c r="R6" i="1" s="1"/>
  <c r="T6" i="1" s="1"/>
  <c r="O12" i="1"/>
  <c r="R12" i="1" s="1"/>
  <c r="T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<sst xmlns="http://schemas.openxmlformats.org/spreadsheetml/2006/main" count="12" uniqueCount="12">
  <si>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Evap Temp (K)</t>
  </si>
  <si>
    <t>Amount of water (Kg)</t>
  </si>
  <si>
    <t>Amount of water (m3)</t>
  </si>
  <si>
    <t>Amount of Water (L)</t>
  </si>
  <si>
    <t>Water usuable thermal energy (J)</t>
  </si>
  <si>
    <t>Minimum Usuable Temp (K)</t>
  </si>
  <si>
    <t>Minimal Useable Temp (C*)</t>
  </si>
  <si>
    <t>Evap Temp (C*)</t>
  </si>
  <si>
    <t>Water usuable energy (j)</t>
  </si>
  <si>
    <t>System Heat Wattage (W)</t>
  </si>
  <si>
    <t>Runtime (Seconds)</t>
  </si>
  <si>
    <t>Runtime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</si>
</sst>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le\AppData\Roaming\Microsoft\AddIns\CoolProp.xlam" TargetMode="External"/><Relationship Id="rId1" Type="http://schemas.openxmlformats.org/officeDocument/2006/relationships/externalLinkPath" Target="file:///C:\Users\wille\AppData\Roaming\Microsoft\AddIns\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8D26-AEDE-43B4-87B9-2DE341929952}">
  <dimension ref="B3:T14"/>
  <sheetViews>
    <sheetView tabSelected="1" workbookViewId="0">
      <selection activeCell="E22" sqref="E22"/>
    </sheetView>
  </sheetViews>
  <sheetFormatPr defaultRowHeight="14.4" x14ac:dyDescent="0.55000000000000004"/>
  <sheetData>
    <row r="3" spans="2:20" x14ac:dyDescent="0.55000000000000004">
      <c r="B3" t="s">
        <v>0</v>
      </c>
      <c r="E3" t="s">
        <v>7</v>
      </c>
      <c r="I3" t="s">
        <v>3</v>
      </c>
      <c r="K3" t="s">
        <v>2</v>
      </c>
      <c r="M3" t="s">
        <v>1</v>
      </c>
      <c r="O3" t="s">
        <v>4</v>
      </c>
      <c r="R3" t="s">
        <v>10</v>
      </c>
      <c r="T3" t="s">
        <v>11</v>
      </c>
    </row>
    <row r="4" spans="2:20" x14ac:dyDescent="0.55000000000000004">
      <c r="B4">
        <f>E4+273.15</f>
        <v>373.15</v>
      </c>
      <c r="E4">
        <v>100</v>
      </c>
      <c r="I4">
        <v>1</v>
      </c>
      <c r="K4">
        <f>I4*0.001</f>
        <v>1E-3</v>
      </c>
      <c r="M4">
        <f>K4*997</f>
        <v>0.997</v>
      </c>
      <c r="O4">
        <f>$B$10*M4</f>
        <v>125722.66716038047</v>
      </c>
      <c r="R4">
        <f>O4/$B$13</f>
        <v>62.861333580190234</v>
      </c>
      <c r="T4">
        <f>R4/60</f>
        <v>1.0476888930031705</v>
      </c>
    </row>
    <row r="5" spans="2:20" x14ac:dyDescent="0.55000000000000004">
      <c r="I5">
        <v>2</v>
      </c>
      <c r="K5">
        <f t="shared" ref="K5:K6" si="0">I5*0.001</f>
        <v>2E-3</v>
      </c>
      <c r="M5">
        <f t="shared" ref="M5:M6" si="1">K5*997</f>
        <v>1.994</v>
      </c>
      <c r="O5">
        <f t="shared" ref="O5:O6" si="2">$B$10*M5</f>
        <v>251445.33432076094</v>
      </c>
      <c r="R5">
        <f t="shared" ref="R5:R6" si="3">O5/$B$13</f>
        <v>125.72266716038047</v>
      </c>
      <c r="T5">
        <f t="shared" ref="T5:T14" si="4">R5/60</f>
        <v>2.0953777860063409</v>
      </c>
    </row>
    <row r="6" spans="2:20" x14ac:dyDescent="0.55000000000000004">
      <c r="B6" t="s">
        <v>5</v>
      </c>
      <c r="E6" t="s">
        <v>6</v>
      </c>
      <c r="I6">
        <v>3</v>
      </c>
      <c r="K6">
        <f t="shared" si="0"/>
        <v>3.0000000000000001E-3</v>
      </c>
      <c r="M6">
        <f t="shared" si="1"/>
        <v>2.9910000000000001</v>
      </c>
      <c r="O6">
        <f t="shared" si="2"/>
        <v>377168.00148114143</v>
      </c>
      <c r="R6">
        <f t="shared" si="3"/>
        <v>188.5840007405707</v>
      </c>
      <c r="T6">
        <f t="shared" si="4"/>
        <v>3.1430666790095119</v>
      </c>
    </row>
    <row r="7" spans="2:20" x14ac:dyDescent="0.55000000000000004">
      <c r="B7">
        <f>E7+273.15</f>
        <v>343.15</v>
      </c>
      <c r="E7">
        <v>70</v>
      </c>
      <c r="I7">
        <v>3.78</v>
      </c>
      <c r="K7">
        <f t="shared" ref="K7:K8" si="5">I7*0.001</f>
        <v>3.7799999999999999E-3</v>
      </c>
      <c r="M7">
        <f t="shared" ref="M7:M8" si="6">K7*997</f>
        <v>3.7686600000000001</v>
      </c>
      <c r="O7">
        <f t="shared" ref="O7:O8" si="7">$B$10*M7</f>
        <v>475231.68186623818</v>
      </c>
      <c r="R7">
        <f t="shared" ref="R7:R8" si="8">O7/$B$13</f>
        <v>237.6158409331191</v>
      </c>
      <c r="T7">
        <f t="shared" si="4"/>
        <v>3.960264015551985</v>
      </c>
    </row>
    <row r="8" spans="2:20" x14ac:dyDescent="0.55000000000000004">
      <c r="I8">
        <v>4</v>
      </c>
      <c r="K8">
        <f t="shared" si="5"/>
        <v>4.0000000000000001E-3</v>
      </c>
      <c r="M8">
        <f t="shared" si="6"/>
        <v>3.988</v>
      </c>
      <c r="O8">
        <f t="shared" si="7"/>
        <v>502890.66864152189</v>
      </c>
      <c r="R8">
        <f t="shared" si="8"/>
        <v>251.44533432076094</v>
      </c>
      <c r="T8">
        <f t="shared" si="4"/>
        <v>4.1907555720126819</v>
      </c>
    </row>
    <row r="9" spans="2:20" x14ac:dyDescent="0.55000000000000004">
      <c r="B9" t="s">
        <v>8</v>
      </c>
      <c r="I9" cm="1">
        <f t="array" ref="I9:I14">_xlfn.SEQUENCE(6,1,5,5)</f>
        <v>5</v>
      </c>
      <c r="K9">
        <f t="shared" ref="K9:K14" si="9">I9*0.001</f>
        <v>5.0000000000000001E-3</v>
      </c>
      <c r="M9">
        <f t="shared" ref="M9:M14" si="10">K9*997</f>
        <v>4.9850000000000003</v>
      </c>
      <c r="O9">
        <f t="shared" ref="O9:O14" si="11">$B$10*M9</f>
        <v>628613.33580190234</v>
      </c>
      <c r="R9">
        <f t="shared" ref="R9:R14" si="12">O9/$B$13</f>
        <v>314.3066679009512</v>
      </c>
      <c r="T9">
        <f t="shared" si="4"/>
        <v>5.2384444650158537</v>
      </c>
    </row>
    <row r="10" spans="2:20" x14ac:dyDescent="0.55000000000000004">
      <c r="B10" cm="1">
        <f t="array" ref="B10">([1]!propssi("H", "T",  $B$4, "Q", 0, "water") - [1]!propssi("H", "T",  $B$7, "Q", 0, "water"))</f>
        <v>126100.97007059224</v>
      </c>
      <c r="I10">
        <v>10</v>
      </c>
      <c r="K10">
        <f t="shared" si="9"/>
        <v>0.01</v>
      </c>
      <c r="M10">
        <f t="shared" si="10"/>
        <v>9.9700000000000006</v>
      </c>
      <c r="O10">
        <f t="shared" si="11"/>
        <v>1257226.6716038047</v>
      </c>
      <c r="R10">
        <f t="shared" si="12"/>
        <v>628.61333580190239</v>
      </c>
      <c r="T10">
        <f t="shared" si="4"/>
        <v>10.476888930031707</v>
      </c>
    </row>
    <row r="11" spans="2:20" x14ac:dyDescent="0.55000000000000004">
      <c r="I11">
        <v>15</v>
      </c>
      <c r="K11">
        <f t="shared" si="9"/>
        <v>1.4999999999999999E-2</v>
      </c>
      <c r="M11">
        <f t="shared" si="10"/>
        <v>14.955</v>
      </c>
      <c r="O11">
        <f t="shared" si="11"/>
        <v>1885840.0074057069</v>
      </c>
      <c r="R11">
        <f t="shared" si="12"/>
        <v>942.92000370285348</v>
      </c>
      <c r="T11">
        <f t="shared" si="4"/>
        <v>15.715333395047558</v>
      </c>
    </row>
    <row r="12" spans="2:20" x14ac:dyDescent="0.55000000000000004">
      <c r="B12" t="s">
        <v>9</v>
      </c>
      <c r="I12">
        <v>20</v>
      </c>
      <c r="K12">
        <f t="shared" si="9"/>
        <v>0.02</v>
      </c>
      <c r="M12">
        <f t="shared" si="10"/>
        <v>19.940000000000001</v>
      </c>
      <c r="O12">
        <f t="shared" si="11"/>
        <v>2514453.3432076094</v>
      </c>
      <c r="R12">
        <f t="shared" si="12"/>
        <v>1257.2266716038048</v>
      </c>
      <c r="T12">
        <f t="shared" si="4"/>
        <v>20.953777860063415</v>
      </c>
    </row>
    <row r="13" spans="2:20" x14ac:dyDescent="0.55000000000000004">
      <c r="B13">
        <v>2000</v>
      </c>
      <c r="I13">
        <v>25</v>
      </c>
      <c r="K13">
        <f t="shared" si="9"/>
        <v>2.5000000000000001E-2</v>
      </c>
      <c r="M13">
        <f t="shared" si="10"/>
        <v>24.925000000000001</v>
      </c>
      <c r="O13">
        <f t="shared" si="11"/>
        <v>3143066.6790095116</v>
      </c>
      <c r="R13">
        <f t="shared" si="12"/>
        <v>1571.5333395047558</v>
      </c>
      <c r="T13">
        <f t="shared" si="4"/>
        <v>26.192222325079264</v>
      </c>
    </row>
    <row r="14" spans="2:20" x14ac:dyDescent="0.55000000000000004">
      <c r="I14" s="1">
        <v>30</v>
      </c>
      <c r="K14">
        <f t="shared" si="9"/>
        <v>0.03</v>
      </c>
      <c r="M14">
        <f t="shared" si="10"/>
        <v>29.91</v>
      </c>
      <c r="O14">
        <f t="shared" si="11"/>
        <v>3771680.0148114138</v>
      </c>
      <c r="R14">
        <f t="shared" si="12"/>
        <v>1885.840007405707</v>
      </c>
      <c r="T14">
        <f t="shared" si="4"/>
        <v>31.430666790095117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2024-12-12T17:16:14Z</dcterms:created>
  <dcterms:modified xsi:type="dcterms:W3CDTF">2025-07-17T22:30:12Z</dcterms:modified>
</cp:coreProperties>
</file>