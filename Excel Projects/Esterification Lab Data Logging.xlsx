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ille\Desktop\Projects-And-Code-Will-Martin\Excel Projects\"/>
    </mc:Choice>
  </mc:AlternateContent>
  <xr:revisionPtr revIDLastSave="0" documentId="13_ncr:1_{1D3E8B1B-09DF-4E7C-B05A-2C2E64F12D87}" xr6:coauthVersionLast="47" xr6:coauthVersionMax="47" xr10:uidLastSave="{00000000-0000-0000-0000-000000000000}"/>
  <bookViews>
    <workbookView xWindow="4686" yWindow="2550" windowWidth="17280" windowHeight="8994" xr2:uid="{27043B7B-2271-401B-B46D-49CA3CF6794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100" i="1" l="1"/>
  <c r="AC100" i="1"/>
  <c r="AC99" i="1"/>
  <c r="AC101" i="1"/>
  <c r="AC102" i="1"/>
  <c r="AC103" i="1"/>
  <c r="AC104" i="1"/>
  <c r="AC105" i="1"/>
  <c r="AC106" i="1"/>
  <c r="AC107" i="1"/>
  <c r="AC108" i="1"/>
  <c r="AC109" i="1"/>
  <c r="AC110" i="1"/>
  <c r="Z51" i="1"/>
  <c r="Z52" i="1"/>
  <c r="Z53" i="1"/>
  <c r="Z54" i="1"/>
  <c r="Z55" i="1"/>
  <c r="Z56" i="1"/>
  <c r="Z57" i="1"/>
  <c r="Z58" i="1"/>
  <c r="Z59" i="1"/>
  <c r="Z101" i="1"/>
  <c r="Z102" i="1"/>
  <c r="Z103" i="1"/>
  <c r="Z104" i="1"/>
  <c r="Z105" i="1"/>
  <c r="Z106" i="1"/>
  <c r="Z107" i="1"/>
  <c r="Z108" i="1"/>
  <c r="Z109" i="1"/>
  <c r="Z110" i="1"/>
  <c r="Z99" i="1"/>
  <c r="Y51" i="1"/>
  <c r="O100" i="1"/>
  <c r="O101" i="1"/>
  <c r="O102" i="1"/>
  <c r="O103" i="1"/>
  <c r="O104" i="1"/>
  <c r="O105" i="1"/>
  <c r="O106" i="1"/>
  <c r="O107" i="1"/>
  <c r="O108" i="1"/>
  <c r="O109" i="1"/>
  <c r="O110" i="1"/>
  <c r="O99" i="1"/>
  <c r="S99" i="1"/>
  <c r="O84" i="1"/>
  <c r="O85" i="1"/>
  <c r="O86" i="1"/>
  <c r="O87" i="1"/>
  <c r="O88" i="1"/>
  <c r="O89" i="1"/>
  <c r="O90" i="1"/>
  <c r="S90" i="1" s="1"/>
  <c r="O91" i="1"/>
  <c r="O83" i="1"/>
  <c r="S83" i="1" s="1"/>
  <c r="O52" i="1"/>
  <c r="O53" i="1"/>
  <c r="O54" i="1"/>
  <c r="O55" i="1"/>
  <c r="O56" i="1"/>
  <c r="O57" i="1"/>
  <c r="O58" i="1"/>
  <c r="O59" i="1"/>
  <c r="O51" i="1"/>
  <c r="R100" i="1"/>
  <c r="X100" i="1" s="1"/>
  <c r="R99" i="1"/>
  <c r="X99" i="1" s="1"/>
  <c r="R104" i="1"/>
  <c r="R110" i="1"/>
  <c r="X110" i="1" s="1"/>
  <c r="M110" i="1"/>
  <c r="M109" i="1"/>
  <c r="S109" i="1" s="1"/>
  <c r="M108" i="1"/>
  <c r="S108" i="1" s="1"/>
  <c r="Y108" i="1" s="1"/>
  <c r="M107" i="1"/>
  <c r="S107" i="1" s="1"/>
  <c r="Y107" i="1" s="1"/>
  <c r="M106" i="1"/>
  <c r="M105" i="1"/>
  <c r="R108" i="1"/>
  <c r="X108" i="1" s="1"/>
  <c r="R109" i="1"/>
  <c r="X109" i="1" s="1"/>
  <c r="R107" i="1"/>
  <c r="X107" i="1" s="1"/>
  <c r="R106" i="1"/>
  <c r="X106" i="1" s="1"/>
  <c r="R105" i="1"/>
  <c r="X105" i="1" s="1"/>
  <c r="X104" i="1"/>
  <c r="M104" i="1"/>
  <c r="R103" i="1"/>
  <c r="X103" i="1" s="1"/>
  <c r="M103" i="1"/>
  <c r="R102" i="1"/>
  <c r="X102" i="1" s="1"/>
  <c r="M102" i="1"/>
  <c r="R101" i="1"/>
  <c r="X101" i="1" s="1"/>
  <c r="S101" i="1"/>
  <c r="Y101" i="1" s="1"/>
  <c r="M100" i="1"/>
  <c r="V99" i="1"/>
  <c r="AC16" i="1"/>
  <c r="AC14" i="1"/>
  <c r="AC15" i="1"/>
  <c r="AC11" i="1"/>
  <c r="AC10" i="1"/>
  <c r="AC12" i="1"/>
  <c r="AC13" i="1"/>
  <c r="AC9" i="1"/>
  <c r="AC6" i="1"/>
  <c r="AC7" i="1"/>
  <c r="AC8" i="1"/>
  <c r="AC5" i="1"/>
  <c r="Q90" i="1"/>
  <c r="R90" i="1" s="1"/>
  <c r="X90" i="1" s="1"/>
  <c r="Q85" i="1"/>
  <c r="R85" i="1" s="1"/>
  <c r="X85" i="1" s="1"/>
  <c r="R91" i="1"/>
  <c r="X91" i="1" s="1"/>
  <c r="R89" i="1"/>
  <c r="X89" i="1" s="1"/>
  <c r="R88" i="1"/>
  <c r="X88" i="1" s="1"/>
  <c r="R87" i="1"/>
  <c r="X87" i="1" s="1"/>
  <c r="R86" i="1"/>
  <c r="X86" i="1" s="1"/>
  <c r="S85" i="1"/>
  <c r="R84" i="1"/>
  <c r="X84" i="1" s="1"/>
  <c r="V83" i="1"/>
  <c r="R83" i="1"/>
  <c r="X83" i="1" s="1"/>
  <c r="M88" i="1"/>
  <c r="M91" i="1"/>
  <c r="M89" i="1"/>
  <c r="M87" i="1"/>
  <c r="M86" i="1"/>
  <c r="M84" i="1"/>
  <c r="X53" i="1"/>
  <c r="R59" i="1"/>
  <c r="X59" i="1" s="1"/>
  <c r="R52" i="1"/>
  <c r="X52" i="1" s="1"/>
  <c r="R53" i="1"/>
  <c r="R54" i="1"/>
  <c r="X54" i="1" s="1"/>
  <c r="R55" i="1"/>
  <c r="X55" i="1" s="1"/>
  <c r="R56" i="1"/>
  <c r="X56" i="1" s="1"/>
  <c r="R57" i="1"/>
  <c r="X57" i="1" s="1"/>
  <c r="R58" i="1"/>
  <c r="X58" i="1" s="1"/>
  <c r="R51" i="1"/>
  <c r="X51" i="1" s="1"/>
  <c r="M10" i="1"/>
  <c r="M51" i="1"/>
  <c r="S51" i="1" s="1"/>
  <c r="V51" i="1"/>
  <c r="M52" i="1"/>
  <c r="S52" i="1" s="1"/>
  <c r="M53" i="1"/>
  <c r="S53" i="1" s="1"/>
  <c r="M59" i="1"/>
  <c r="M58" i="1"/>
  <c r="M57" i="1"/>
  <c r="M56" i="1"/>
  <c r="S56" i="1" s="1"/>
  <c r="M55" i="1"/>
  <c r="S55" i="1" s="1"/>
  <c r="M54" i="1"/>
  <c r="S54" i="1" s="1"/>
  <c r="Y54" i="1" s="1"/>
  <c r="P27" i="1"/>
  <c r="P28" i="1"/>
  <c r="P29" i="1"/>
  <c r="P30" i="1"/>
  <c r="P31" i="1"/>
  <c r="P32" i="1"/>
  <c r="P33" i="1"/>
  <c r="P34" i="1"/>
  <c r="P26" i="1"/>
  <c r="L33" i="1"/>
  <c r="M33" i="1" s="1"/>
  <c r="L34" i="1"/>
  <c r="M27" i="1"/>
  <c r="M28" i="1"/>
  <c r="M29" i="1"/>
  <c r="M30" i="1"/>
  <c r="M31" i="1"/>
  <c r="L26" i="1"/>
  <c r="C12" i="1"/>
  <c r="C11" i="1"/>
  <c r="C4" i="1"/>
  <c r="S58" i="1" l="1"/>
  <c r="S57" i="1"/>
  <c r="S59" i="1"/>
  <c r="Y59" i="1" s="1"/>
  <c r="Y53" i="1"/>
  <c r="S102" i="1"/>
  <c r="Y102" i="1" s="1"/>
  <c r="S89" i="1"/>
  <c r="Y89" i="1" s="1"/>
  <c r="S86" i="1"/>
  <c r="Y86" i="1" s="1"/>
  <c r="S103" i="1"/>
  <c r="Y103" i="1" s="1"/>
  <c r="S110" i="1"/>
  <c r="Y110" i="1" s="1"/>
  <c r="S88" i="1"/>
  <c r="Y88" i="1" s="1"/>
  <c r="Y56" i="1"/>
  <c r="S104" i="1"/>
  <c r="Y104" i="1" s="1"/>
  <c r="Y57" i="1"/>
  <c r="Y90" i="1"/>
  <c r="S91" i="1"/>
  <c r="Y91" i="1" s="1"/>
  <c r="S105" i="1"/>
  <c r="Y105" i="1" s="1"/>
  <c r="S106" i="1"/>
  <c r="Y106" i="1" s="1"/>
  <c r="S100" i="1"/>
  <c r="Y100" i="1" s="1"/>
  <c r="S84" i="1"/>
  <c r="Y84" i="1" s="1"/>
  <c r="S87" i="1"/>
  <c r="Y87" i="1" s="1"/>
  <c r="Y85" i="1"/>
  <c r="Y99" i="1"/>
  <c r="Y83" i="1"/>
  <c r="Y109" i="1"/>
  <c r="Y55" i="1"/>
  <c r="Y52" i="1"/>
  <c r="Y58" i="1"/>
  <c r="M34" i="1"/>
</calcChain>
</file>

<file path=xl/sharedStrings.xml><?xml version="1.0" encoding="utf-8"?>
<sst xmlns="http://schemas.openxmlformats.org/spreadsheetml/2006/main" count="109" uniqueCount="71">
  <si>
    <t>Trial 1 (30*C)</t>
  </si>
  <si>
    <t>Trial 2 (40*C)</t>
  </si>
  <si>
    <t>Trial 3 (50*C)</t>
  </si>
  <si>
    <t>Withdrawl Time</t>
  </si>
  <si>
    <t>1 (30 seconds)</t>
  </si>
  <si>
    <t>Notes on Weaknesses</t>
  </si>
  <si>
    <t>Trial 1</t>
  </si>
  <si>
    <t>Trial 2</t>
  </si>
  <si>
    <t>Trial 3</t>
  </si>
  <si>
    <t>Initial ml of 1.0 M NaOH needed to titrate 25 ml of ethanol + sulfuric acid mixture</t>
  </si>
  <si>
    <t>Value</t>
  </si>
  <si>
    <t>Additional Values to Keep Track Of</t>
  </si>
  <si>
    <t>Notes</t>
  </si>
  <si>
    <t>We will probably need roughly 7-9 ml of NaOH to titrate each 1 ml sample (although that amount will decrease with time as more acetic acid is consumed)</t>
  </si>
  <si>
    <t>2 (3 min)</t>
  </si>
  <si>
    <t>3 (6 min)</t>
  </si>
  <si>
    <t>4 (9 min)</t>
  </si>
  <si>
    <t>5 (12 min)</t>
  </si>
  <si>
    <t>6 (15 min)</t>
  </si>
  <si>
    <t>7 (20 min)</t>
  </si>
  <si>
    <t>8 (25 min)</t>
  </si>
  <si>
    <t>9 (30 min)</t>
  </si>
  <si>
    <t>probably lower</t>
  </si>
  <si>
    <t>lower</t>
  </si>
  <si>
    <t>garbage (lower)</t>
  </si>
  <si>
    <t>little lower</t>
  </si>
  <si>
    <t>Time (s)</t>
  </si>
  <si>
    <t>Temp (*C)</t>
  </si>
  <si>
    <t>ml of 1.0 M NaOH required to Titrate</t>
  </si>
  <si>
    <t>blank</t>
  </si>
  <si>
    <t>0.45ml</t>
  </si>
  <si>
    <t>8.1ml</t>
  </si>
  <si>
    <t>15.9 ml</t>
  </si>
  <si>
    <t>23.3ml</t>
  </si>
  <si>
    <t>one drop lower</t>
  </si>
  <si>
    <t>30.2ml</t>
  </si>
  <si>
    <t>one drop less</t>
  </si>
  <si>
    <t>36.85ml</t>
  </si>
  <si>
    <t>43.0 ml</t>
  </si>
  <si>
    <t>maybe less than a drop less</t>
  </si>
  <si>
    <t>6.1ml</t>
  </si>
  <si>
    <t>12.05ml</t>
  </si>
  <si>
    <t>17.85ml</t>
  </si>
  <si>
    <t>ml NaOH</t>
  </si>
  <si>
    <t>H2SO4 correction</t>
  </si>
  <si>
    <t>Actual Values</t>
  </si>
  <si>
    <t>one drop less and probably a bit more, this one was a lot more pink than the others  (this one could probably safely ignored)</t>
  </si>
  <si>
    <t>Volume Required to Titrate</t>
  </si>
  <si>
    <t>NaOH mol/ml</t>
  </si>
  <si>
    <t xml:space="preserve">Mol of Acetic Acid </t>
  </si>
  <si>
    <t xml:space="preserve">base titration </t>
  </si>
  <si>
    <t xml:space="preserve">don’t trust this one </t>
  </si>
  <si>
    <t>blank titration</t>
  </si>
  <si>
    <t>and this one, I didn't get the exact volume and they were over-titrated</t>
  </si>
  <si>
    <t>1 ice cube accidentally added when temp dropped (probably 6-8 g of water added)</t>
  </si>
  <si>
    <t>Started Reading Temperature ~30 seconds late</t>
  </si>
  <si>
    <t>Trial 4 (30*C)</t>
  </si>
  <si>
    <t>time</t>
  </si>
  <si>
    <t xml:space="preserve">blank </t>
  </si>
  <si>
    <t>overtitrated, probably around 2-4 drops less</t>
  </si>
  <si>
    <t>overtitrated, probably around 2-4 drops less (most likely 0.00650)</t>
  </si>
  <si>
    <t>probably a couple drops more</t>
  </si>
  <si>
    <t>undertitrated, most likely 0.0062</t>
  </si>
  <si>
    <t>Trial 5 (50*C)</t>
  </si>
  <si>
    <t>overtitrated a little</t>
  </si>
  <si>
    <t>maybe one more</t>
  </si>
  <si>
    <t>overtitrated by less than one drop</t>
  </si>
  <si>
    <t>less, no idea how much (less than 43.1)</t>
  </si>
  <si>
    <t>BIAS</t>
  </si>
  <si>
    <t>edited?</t>
  </si>
  <si>
    <t>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</si>
</sst>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6" formatCode="0.00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wrapText="1"/>
    </xf>
    <xf numFmtId="20" fontId="0" fillId="0" borderId="0" xfId="0" applyNumberFormat="1"/>
    <xf numFmtId="164" fontId="0" fillId="0" borderId="0" xfId="0" applyNumberFormat="1"/>
    <xf numFmtId="2" fontId="0" fillId="0" borderId="0" xfId="0" applyNumberFormat="1"/>
    <xf numFmtId="46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/>
    </xf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Sheet1!$P$26:$P$34</c:f>
              <c:numCache>
                <c:formatCode>General</c:formatCode>
                <c:ptCount val="9"/>
                <c:pt idx="0">
                  <c:v>0</c:v>
                </c:pt>
                <c:pt idx="1">
                  <c:v>180</c:v>
                </c:pt>
                <c:pt idx="2">
                  <c:v>360</c:v>
                </c:pt>
                <c:pt idx="3">
                  <c:v>540</c:v>
                </c:pt>
                <c:pt idx="4">
                  <c:v>720</c:v>
                </c:pt>
                <c:pt idx="5">
                  <c:v>900</c:v>
                </c:pt>
                <c:pt idx="6">
                  <c:v>1200</c:v>
                </c:pt>
                <c:pt idx="7">
                  <c:v>1500</c:v>
                </c:pt>
                <c:pt idx="8">
                  <c:v>1800</c:v>
                </c:pt>
              </c:numCache>
            </c:numRef>
          </c:xVal>
          <c:yVal>
            <c:numRef>
              <c:f>Sheet1!$Q$26:$Q$34</c:f>
              <c:numCache>
                <c:formatCode>General</c:formatCode>
                <c:ptCount val="9"/>
                <c:pt idx="0">
                  <c:v>9.3000000000000007</c:v>
                </c:pt>
                <c:pt idx="1">
                  <c:v>6.8000000000000007</c:v>
                </c:pt>
                <c:pt idx="2">
                  <c:v>8.3999999999999986</c:v>
                </c:pt>
                <c:pt idx="3">
                  <c:v>7.6000000000000014</c:v>
                </c:pt>
                <c:pt idx="4">
                  <c:v>8.1000000000000014</c:v>
                </c:pt>
                <c:pt idx="5">
                  <c:v>8</c:v>
                </c:pt>
                <c:pt idx="6">
                  <c:v>7</c:v>
                </c:pt>
                <c:pt idx="7">
                  <c:v>7.2000000000000011</c:v>
                </c:pt>
                <c:pt idx="8">
                  <c:v>6.3999999999999968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577-4D2C-8507-875C90B58B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7817775"/>
        <c:axId val="437977183"/>
      </c:scatterChart>
      <c:valAx>
        <c:axId val="4078177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7977183"/>
        <c:crosses val="autoZero"/>
        <c:crossBetween val="midCat"/>
      </c:valAx>
      <c:valAx>
        <c:axId val="4379771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78177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Sheet1!$S$50</c:f>
              <c:strCache>
                <c:ptCount val="1"/>
                <c:pt idx="0">
                  <c:v>Volume Required to Titrate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Sheet1!$R$51:$R$59</c:f>
              <c:numCache>
                <c:formatCode>General</c:formatCode>
                <c:ptCount val="9"/>
                <c:pt idx="0">
                  <c:v>30</c:v>
                </c:pt>
                <c:pt idx="1">
                  <c:v>270</c:v>
                </c:pt>
                <c:pt idx="2">
                  <c:v>480</c:v>
                </c:pt>
                <c:pt idx="3">
                  <c:v>720</c:v>
                </c:pt>
                <c:pt idx="4">
                  <c:v>960</c:v>
                </c:pt>
                <c:pt idx="5">
                  <c:v>1200</c:v>
                </c:pt>
                <c:pt idx="6">
                  <c:v>1440</c:v>
                </c:pt>
                <c:pt idx="7">
                  <c:v>1680</c:v>
                </c:pt>
                <c:pt idx="8">
                  <c:v>1920</c:v>
                </c:pt>
              </c:numCache>
            </c:numRef>
          </c:xVal>
          <c:yVal>
            <c:numRef>
              <c:f>Sheet1!$S$51:$S$59</c:f>
              <c:numCache>
                <c:formatCode>General</c:formatCode>
                <c:ptCount val="9"/>
                <c:pt idx="0">
                  <c:v>7.875</c:v>
                </c:pt>
                <c:pt idx="1">
                  <c:v>7.5750000000000011</c:v>
                </c:pt>
                <c:pt idx="2">
                  <c:v>7.1750000000000007</c:v>
                </c:pt>
                <c:pt idx="3">
                  <c:v>6.6749999999999989</c:v>
                </c:pt>
                <c:pt idx="4">
                  <c:v>6.4250000000000025</c:v>
                </c:pt>
                <c:pt idx="5">
                  <c:v>5.9249999999999989</c:v>
                </c:pt>
                <c:pt idx="6">
                  <c:v>5.875</c:v>
                </c:pt>
                <c:pt idx="7">
                  <c:v>5.7250000000000014</c:v>
                </c:pt>
                <c:pt idx="8">
                  <c:v>5.5750000000000011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A4F-4FF4-A8C4-611207A2D5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2763952"/>
        <c:axId val="1162764912"/>
      </c:scatterChart>
      <c:valAx>
        <c:axId val="11627639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2764912"/>
        <c:crosses val="autoZero"/>
        <c:crossBetween val="midCat"/>
      </c:valAx>
      <c:valAx>
        <c:axId val="1162764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27639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Sheet1!$Y$82</c:f>
              <c:strCache>
                <c:ptCount val="1"/>
                <c:pt idx="0">
                  <c:v>Mol of Acetic Acid 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Sheet1!$X$83:$X$91</c:f>
              <c:numCache>
                <c:formatCode>General</c:formatCode>
                <c:ptCount val="9"/>
                <c:pt idx="0">
                  <c:v>60</c:v>
                </c:pt>
                <c:pt idx="1">
                  <c:v>300</c:v>
                </c:pt>
                <c:pt idx="2">
                  <c:v>575</c:v>
                </c:pt>
                <c:pt idx="3">
                  <c:v>780</c:v>
                </c:pt>
                <c:pt idx="4">
                  <c:v>1020</c:v>
                </c:pt>
                <c:pt idx="5">
                  <c:v>1260</c:v>
                </c:pt>
                <c:pt idx="6">
                  <c:v>1500</c:v>
                </c:pt>
                <c:pt idx="7">
                  <c:v>1760</c:v>
                </c:pt>
                <c:pt idx="8">
                  <c:v>1980</c:v>
                </c:pt>
              </c:numCache>
            </c:numRef>
          </c:xVal>
          <c:yVal>
            <c:numRef>
              <c:f>Sheet1!$Y$83:$Y$91</c:f>
              <c:numCache>
                <c:formatCode>General</c:formatCode>
                <c:ptCount val="9"/>
                <c:pt idx="0">
                  <c:v>8.0800000000000004E-3</c:v>
                </c:pt>
                <c:pt idx="1">
                  <c:v>7.8199999999999988E-3</c:v>
                </c:pt>
                <c:pt idx="2">
                  <c:v>7.3499999999999998E-3</c:v>
                </c:pt>
                <c:pt idx="3">
                  <c:v>7.3499999999999998E-3</c:v>
                </c:pt>
                <c:pt idx="4">
                  <c:v>6.7499999999999999E-3</c:v>
                </c:pt>
                <c:pt idx="5">
                  <c:v>6.7499999999999999E-3</c:v>
                </c:pt>
                <c:pt idx="6">
                  <c:v>6.6500000000000023E-3</c:v>
                </c:pt>
                <c:pt idx="7">
                  <c:v>6.0499999999999998E-3</c:v>
                </c:pt>
                <c:pt idx="8">
                  <c:v>6.2000000000000006E-3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2CA-41CE-BDA2-F83C51C0C9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33853488"/>
        <c:axId val="1533870288"/>
      </c:scatterChart>
      <c:valAx>
        <c:axId val="15338534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3870288"/>
        <c:crosses val="autoZero"/>
        <c:crossBetween val="midCat"/>
      </c:valAx>
      <c:valAx>
        <c:axId val="1533870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38534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Sheet1!$AB$98</c:f>
              <c:strCache>
                <c:ptCount val="1"/>
                <c:pt idx="0">
                  <c:v>Mol of Acetic Acid 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Sheet1!$AA$99:$AA$110</c:f>
              <c:numCache>
                <c:formatCode>General</c:formatCode>
                <c:ptCount val="12"/>
                <c:pt idx="0">
                  <c:v>81</c:v>
                </c:pt>
                <c:pt idx="1">
                  <c:v>245</c:v>
                </c:pt>
                <c:pt idx="2">
                  <c:v>420</c:v>
                </c:pt>
                <c:pt idx="3">
                  <c:v>600</c:v>
                </c:pt>
                <c:pt idx="4">
                  <c:v>780</c:v>
                </c:pt>
                <c:pt idx="5">
                  <c:v>960</c:v>
                </c:pt>
                <c:pt idx="6">
                  <c:v>1140</c:v>
                </c:pt>
                <c:pt idx="7">
                  <c:v>1320</c:v>
                </c:pt>
                <c:pt idx="8">
                  <c:v>1500</c:v>
                </c:pt>
                <c:pt idx="9">
                  <c:v>1680</c:v>
                </c:pt>
                <c:pt idx="10">
                  <c:v>1860</c:v>
                </c:pt>
                <c:pt idx="11">
                  <c:v>2040</c:v>
                </c:pt>
              </c:numCache>
            </c:numRef>
          </c:xVal>
          <c:yVal>
            <c:numRef>
              <c:f>Sheet1!$AB$99:$AB$110</c:f>
              <c:numCache>
                <c:formatCode>0.00000</c:formatCode>
                <c:ptCount val="12"/>
                <c:pt idx="0">
                  <c:v>7.6300000000000014E-3</c:v>
                </c:pt>
                <c:pt idx="1">
                  <c:v>6.4999999999999997E-3</c:v>
                </c:pt>
                <c:pt idx="2">
                  <c:v>5.4999999999999997E-3</c:v>
                </c:pt>
                <c:pt idx="3">
                  <c:v>5.0000000000000036E-3</c:v>
                </c:pt>
                <c:pt idx="4">
                  <c:v>4.6999999999999993E-3</c:v>
                </c:pt>
                <c:pt idx="5">
                  <c:v>4.400000000000002E-3</c:v>
                </c:pt>
                <c:pt idx="6">
                  <c:v>4.15E-3</c:v>
                </c:pt>
                <c:pt idx="7">
                  <c:v>3.8E-3</c:v>
                </c:pt>
                <c:pt idx="8">
                  <c:v>3.6000000000000016E-3</c:v>
                </c:pt>
                <c:pt idx="9">
                  <c:v>3.3300000000000001E-3</c:v>
                </c:pt>
                <c:pt idx="10">
                  <c:v>3.2499999999999999E-3</c:v>
                </c:pt>
                <c:pt idx="11">
                  <c:v>3.2000000000000028E-3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828-4C49-9B94-88F7FAF044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55073423"/>
        <c:axId val="955062383"/>
      </c:scatterChart>
      <c:valAx>
        <c:axId val="9550734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5062383"/>
        <c:crosses val="autoZero"/>
        <c:crossBetween val="midCat"/>
      </c:valAx>
      <c:valAx>
        <c:axId val="9550623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50734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194310</xdr:colOff>
      <xdr:row>22</xdr:row>
      <xdr:rowOff>19050</xdr:rowOff>
    </xdr:from>
    <xdr:to>
      <xdr:col>25</xdr:col>
      <xdr:colOff>285750</xdr:colOff>
      <xdr:row>37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00C9F2A-0658-ACB8-4781-D4ACF21BDD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28</xdr:col>
      <xdr:colOff>3810</xdr:colOff>
      <xdr:row>49</xdr:row>
      <xdr:rowOff>1905</xdr:rowOff>
    </xdr:from>
    <xdr:to>
      <xdr:col>35</xdr:col>
      <xdr:colOff>95250</xdr:colOff>
      <xdr:row>64</xdr:row>
      <xdr:rowOff>1905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088F6F7-F210-B847-28CA-BC713E3BC2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30</xdr:col>
      <xdr:colOff>628650</xdr:colOff>
      <xdr:row>81</xdr:row>
      <xdr:rowOff>1905</xdr:rowOff>
    </xdr:from>
    <xdr:to>
      <xdr:col>38</xdr:col>
      <xdr:colOff>80010</xdr:colOff>
      <xdr:row>96</xdr:row>
      <xdr:rowOff>1905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4A8716B-D384-7D51-40E0-74C6E1842D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32</xdr:col>
      <xdr:colOff>582930</xdr:colOff>
      <xdr:row>97</xdr:row>
      <xdr:rowOff>17145</xdr:rowOff>
    </xdr:from>
    <xdr:to>
      <xdr:col>40</xdr:col>
      <xdr:colOff>34290</xdr:colOff>
      <xdr:row>112</xdr:row>
      <xdr:rowOff>17145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C8646061-9A85-E4EF-7E0B-D68060D79A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E9B97C-057F-4C1E-9083-78A721E3BFF1}">
  <dimension ref="B3:AD110"/>
  <sheetViews>
    <sheetView tabSelected="1" topLeftCell="X96" workbookViewId="0">
      <selection activeCell="AC98" sqref="AC98"/>
    </sheetView>
  </sheetViews>
  <sheetFormatPr defaultRowHeight="14.4" x14ac:dyDescent="0.55000000000000004"/>
  <cols>
    <col min="2" max="2" width="13.578125" customWidth="1"/>
    <col min="3" max="3" width="11.5234375" customWidth="1"/>
    <col min="5" max="5" width="11.05078125" customWidth="1"/>
    <col min="7" max="7" width="11.47265625" customWidth="1"/>
    <col min="10" max="10" width="27.3125" customWidth="1"/>
    <col min="14" max="14" width="8.83984375" customWidth="1"/>
    <col min="15" max="15" width="11.68359375" bestFit="1" customWidth="1"/>
    <col min="21" max="21" width="13.7890625" bestFit="1" customWidth="1"/>
    <col min="25" max="25" width="12.26171875" bestFit="1" customWidth="1"/>
  </cols>
  <sheetData>
    <row r="3" spans="2:30" x14ac:dyDescent="0.55000000000000004">
      <c r="B3" t="s">
        <v>3</v>
      </c>
      <c r="C3" t="s">
        <v>0</v>
      </c>
      <c r="G3" t="s">
        <v>1</v>
      </c>
      <c r="K3" t="s">
        <v>2</v>
      </c>
      <c r="M3" t="s">
        <v>55</v>
      </c>
      <c r="U3" t="s">
        <v>57</v>
      </c>
      <c r="V3" t="s">
        <v>56</v>
      </c>
      <c r="AA3" t="s">
        <v>57</v>
      </c>
      <c r="AB3" t="s">
        <v>63</v>
      </c>
    </row>
    <row r="4" spans="2:30" x14ac:dyDescent="0.55000000000000004">
      <c r="B4" t="s">
        <v>4</v>
      </c>
      <c r="C4">
        <f>7.7 + 1.6</f>
        <v>9.3000000000000007</v>
      </c>
      <c r="F4">
        <v>0</v>
      </c>
      <c r="G4" t="s">
        <v>31</v>
      </c>
      <c r="J4">
        <v>0</v>
      </c>
      <c r="K4">
        <v>10.15</v>
      </c>
      <c r="U4" s="2">
        <v>4.1666666666666664E-2</v>
      </c>
      <c r="V4">
        <v>8.33</v>
      </c>
      <c r="AA4" s="4">
        <v>121</v>
      </c>
      <c r="AB4">
        <v>8.4</v>
      </c>
      <c r="AC4">
        <v>8.4</v>
      </c>
    </row>
    <row r="5" spans="2:30" x14ac:dyDescent="0.55000000000000004">
      <c r="B5" t="s">
        <v>14</v>
      </c>
      <c r="C5">
        <v>16.100000000000001</v>
      </c>
      <c r="D5" t="s">
        <v>22</v>
      </c>
      <c r="F5" s="2">
        <v>0.1875</v>
      </c>
      <c r="G5" t="s">
        <v>32</v>
      </c>
      <c r="J5">
        <v>3</v>
      </c>
      <c r="K5">
        <v>18.649999999999999</v>
      </c>
      <c r="U5" s="2">
        <v>0.20833333333333334</v>
      </c>
      <c r="V5">
        <v>16.399999999999999</v>
      </c>
      <c r="AA5" s="4">
        <v>405</v>
      </c>
      <c r="AB5">
        <v>15.6</v>
      </c>
      <c r="AC5">
        <f>AB5-AB4</f>
        <v>7.1999999999999993</v>
      </c>
    </row>
    <row r="6" spans="2:30" x14ac:dyDescent="0.55000000000000004">
      <c r="B6" t="s">
        <v>15</v>
      </c>
      <c r="C6">
        <v>24.5</v>
      </c>
      <c r="F6">
        <v>8</v>
      </c>
      <c r="G6" t="s">
        <v>33</v>
      </c>
      <c r="H6" t="s">
        <v>34</v>
      </c>
      <c r="J6">
        <v>6</v>
      </c>
      <c r="K6">
        <v>7.2</v>
      </c>
      <c r="L6" t="s">
        <v>51</v>
      </c>
      <c r="U6" s="2">
        <v>0.39930555555555558</v>
      </c>
      <c r="V6">
        <v>7.6</v>
      </c>
      <c r="AA6" s="4">
        <v>700</v>
      </c>
      <c r="AB6">
        <v>21.9</v>
      </c>
      <c r="AC6">
        <f t="shared" ref="AC6:AC8" si="0">AB6-AB5</f>
        <v>6.2999999999999989</v>
      </c>
      <c r="AD6" t="s">
        <v>64</v>
      </c>
    </row>
    <row r="7" spans="2:30" x14ac:dyDescent="0.55000000000000004">
      <c r="B7" t="s">
        <v>16</v>
      </c>
      <c r="C7">
        <v>32.1</v>
      </c>
      <c r="D7" t="s">
        <v>24</v>
      </c>
      <c r="F7">
        <v>12</v>
      </c>
      <c r="G7" t="s">
        <v>35</v>
      </c>
      <c r="J7">
        <v>10</v>
      </c>
      <c r="K7">
        <v>12.65</v>
      </c>
      <c r="L7" t="s">
        <v>53</v>
      </c>
      <c r="U7" s="2">
        <v>0.54166666666666663</v>
      </c>
      <c r="V7">
        <v>15.2</v>
      </c>
      <c r="AA7" s="4">
        <v>1000</v>
      </c>
      <c r="AB7">
        <v>27.6</v>
      </c>
      <c r="AC7">
        <f t="shared" si="0"/>
        <v>5.7000000000000028</v>
      </c>
      <c r="AD7" t="s">
        <v>65</v>
      </c>
    </row>
    <row r="8" spans="2:30" x14ac:dyDescent="0.55000000000000004">
      <c r="B8" t="s">
        <v>17</v>
      </c>
      <c r="C8">
        <v>40.200000000000003</v>
      </c>
      <c r="D8" t="s">
        <v>23</v>
      </c>
      <c r="F8">
        <v>16</v>
      </c>
      <c r="G8" t="s">
        <v>37</v>
      </c>
      <c r="H8" t="s">
        <v>36</v>
      </c>
      <c r="J8">
        <v>12</v>
      </c>
      <c r="K8">
        <v>18.2</v>
      </c>
      <c r="R8">
        <v>24</v>
      </c>
      <c r="U8" s="2">
        <v>0.70833333333333337</v>
      </c>
      <c r="V8">
        <v>22.2</v>
      </c>
      <c r="AA8" s="4">
        <v>1300</v>
      </c>
      <c r="AB8">
        <v>33</v>
      </c>
      <c r="AC8">
        <f t="shared" si="0"/>
        <v>5.3999999999999986</v>
      </c>
      <c r="AD8" t="s">
        <v>66</v>
      </c>
    </row>
    <row r="9" spans="2:30" x14ac:dyDescent="0.55000000000000004">
      <c r="B9" t="s">
        <v>18</v>
      </c>
      <c r="C9">
        <v>48.2</v>
      </c>
      <c r="D9" t="s">
        <v>25</v>
      </c>
      <c r="F9">
        <v>20</v>
      </c>
      <c r="G9" t="s">
        <v>38</v>
      </c>
      <c r="H9" t="s">
        <v>46</v>
      </c>
      <c r="J9">
        <v>15</v>
      </c>
      <c r="K9">
        <v>23.75</v>
      </c>
      <c r="M9" t="s">
        <v>54</v>
      </c>
      <c r="U9" s="2">
        <v>0.875</v>
      </c>
      <c r="V9">
        <v>29.2</v>
      </c>
      <c r="W9" t="s">
        <v>59</v>
      </c>
      <c r="AA9" s="4">
        <v>1600</v>
      </c>
      <c r="AB9">
        <v>38.1</v>
      </c>
      <c r="AC9">
        <f>AB9-AB8</f>
        <v>5.1000000000000014</v>
      </c>
    </row>
    <row r="10" spans="2:30" x14ac:dyDescent="0.55000000000000004">
      <c r="B10" t="s">
        <v>19</v>
      </c>
      <c r="C10">
        <v>7</v>
      </c>
      <c r="D10" t="s">
        <v>25</v>
      </c>
      <c r="F10">
        <v>24</v>
      </c>
      <c r="G10" t="s">
        <v>40</v>
      </c>
      <c r="H10" t="s">
        <v>39</v>
      </c>
      <c r="J10" t="s">
        <v>50</v>
      </c>
      <c r="K10">
        <v>24.6</v>
      </c>
      <c r="L10" t="s">
        <v>52</v>
      </c>
      <c r="M10">
        <f>K10-K9</f>
        <v>0.85000000000000142</v>
      </c>
      <c r="U10" s="5">
        <v>1.0416666666666667</v>
      </c>
      <c r="V10">
        <v>36.1</v>
      </c>
      <c r="AA10" s="4">
        <v>1900</v>
      </c>
      <c r="AB10">
        <v>43</v>
      </c>
      <c r="AC10">
        <f t="shared" ref="AC10:AC16" si="1">AB10-AB9</f>
        <v>4.8999999999999986</v>
      </c>
      <c r="AD10" t="s">
        <v>67</v>
      </c>
    </row>
    <row r="11" spans="2:30" x14ac:dyDescent="0.55000000000000004">
      <c r="B11" t="s">
        <v>20</v>
      </c>
      <c r="C11">
        <f xml:space="preserve"> 15.8 -1.6</f>
        <v>14.200000000000001</v>
      </c>
      <c r="F11">
        <v>28</v>
      </c>
      <c r="G11" t="s">
        <v>41</v>
      </c>
      <c r="J11">
        <v>18</v>
      </c>
      <c r="K11">
        <v>29.75</v>
      </c>
      <c r="U11" s="5">
        <v>1.2222222222222223</v>
      </c>
      <c r="V11">
        <v>6.3</v>
      </c>
      <c r="AA11" s="4">
        <v>2200</v>
      </c>
      <c r="AB11">
        <v>4.5</v>
      </c>
      <c r="AC11">
        <f>AB11</f>
        <v>4.5</v>
      </c>
    </row>
    <row r="12" spans="2:30" x14ac:dyDescent="0.55000000000000004">
      <c r="B12" t="s">
        <v>21</v>
      </c>
      <c r="C12">
        <f>22.2 -1.6</f>
        <v>20.599999999999998</v>
      </c>
      <c r="F12">
        <v>32</v>
      </c>
      <c r="G12" t="s">
        <v>42</v>
      </c>
      <c r="J12">
        <v>21</v>
      </c>
      <c r="K12">
        <v>35.1</v>
      </c>
      <c r="U12" s="5">
        <v>1.375</v>
      </c>
      <c r="V12">
        <v>12.75</v>
      </c>
      <c r="AA12" s="4">
        <v>2500</v>
      </c>
      <c r="AB12">
        <v>8.8000000000000007</v>
      </c>
      <c r="AC12">
        <f t="shared" si="1"/>
        <v>4.3000000000000007</v>
      </c>
      <c r="AD12" t="s">
        <v>36</v>
      </c>
    </row>
    <row r="13" spans="2:30" x14ac:dyDescent="0.55000000000000004">
      <c r="B13" t="s">
        <v>29</v>
      </c>
      <c r="C13">
        <v>2.4</v>
      </c>
      <c r="G13" t="s">
        <v>30</v>
      </c>
      <c r="U13" t="s">
        <v>58</v>
      </c>
      <c r="V13">
        <v>0.5</v>
      </c>
      <c r="AA13" s="4">
        <v>2800</v>
      </c>
      <c r="AB13">
        <v>12.83</v>
      </c>
      <c r="AC13">
        <f t="shared" si="1"/>
        <v>4.0299999999999994</v>
      </c>
    </row>
    <row r="14" spans="2:30" x14ac:dyDescent="0.55000000000000004">
      <c r="AA14" s="4">
        <v>3100</v>
      </c>
      <c r="AB14">
        <v>16.899999999999999</v>
      </c>
      <c r="AC14">
        <f t="shared" si="1"/>
        <v>4.0699999999999985</v>
      </c>
    </row>
    <row r="15" spans="2:30" x14ac:dyDescent="0.55000000000000004">
      <c r="C15" s="6" t="s">
        <v>5</v>
      </c>
      <c r="D15" s="6"/>
      <c r="E15" s="6"/>
      <c r="F15" s="6"/>
      <c r="G15" s="6"/>
      <c r="H15" s="6"/>
      <c r="AA15" s="4">
        <v>3400</v>
      </c>
      <c r="AB15">
        <v>20.8</v>
      </c>
      <c r="AC15">
        <f t="shared" si="1"/>
        <v>3.9000000000000021</v>
      </c>
    </row>
    <row r="16" spans="2:30" x14ac:dyDescent="0.55000000000000004">
      <c r="C16" s="6" t="s">
        <v>6</v>
      </c>
      <c r="D16" s="6"/>
      <c r="E16" s="6" t="s">
        <v>7</v>
      </c>
      <c r="F16" s="6"/>
      <c r="G16" s="6" t="s">
        <v>8</v>
      </c>
      <c r="H16" s="6"/>
      <c r="J16" t="s">
        <v>11</v>
      </c>
      <c r="K16" t="s">
        <v>10</v>
      </c>
      <c r="AA16" t="s">
        <v>29</v>
      </c>
      <c r="AB16">
        <v>21.5</v>
      </c>
      <c r="AC16">
        <f t="shared" si="1"/>
        <v>0.69999999999999929</v>
      </c>
    </row>
    <row r="17" spans="3:18" ht="43.2" customHeight="1" x14ac:dyDescent="0.55000000000000004">
      <c r="C17" s="8"/>
      <c r="D17" s="8"/>
      <c r="E17" s="8"/>
      <c r="F17" s="8"/>
      <c r="G17" s="8"/>
      <c r="H17" s="8"/>
      <c r="J17" s="1" t="s">
        <v>9</v>
      </c>
    </row>
    <row r="18" spans="3:18" x14ac:dyDescent="0.55000000000000004">
      <c r="C18" s="8"/>
      <c r="D18" s="8"/>
      <c r="E18" s="8"/>
      <c r="F18" s="8"/>
      <c r="G18" s="8"/>
      <c r="H18" s="8"/>
    </row>
    <row r="19" spans="3:18" x14ac:dyDescent="0.55000000000000004">
      <c r="C19" s="8"/>
      <c r="D19" s="8"/>
      <c r="E19" s="8"/>
      <c r="F19" s="8"/>
      <c r="G19" s="8"/>
      <c r="H19" s="8"/>
    </row>
    <row r="20" spans="3:18" x14ac:dyDescent="0.55000000000000004">
      <c r="C20" s="8"/>
      <c r="D20" s="8"/>
      <c r="E20" s="8"/>
      <c r="F20" s="8"/>
      <c r="G20" s="8"/>
      <c r="H20" s="8"/>
    </row>
    <row r="21" spans="3:18" x14ac:dyDescent="0.55000000000000004">
      <c r="C21" s="8"/>
      <c r="D21" s="8"/>
      <c r="E21" s="8"/>
      <c r="F21" s="8"/>
      <c r="G21" s="8"/>
      <c r="H21" s="8"/>
    </row>
    <row r="22" spans="3:18" x14ac:dyDescent="0.55000000000000004">
      <c r="C22" s="8"/>
      <c r="D22" s="8"/>
      <c r="E22" s="8"/>
      <c r="F22" s="8"/>
      <c r="G22" s="8"/>
      <c r="H22" s="8"/>
    </row>
    <row r="23" spans="3:18" x14ac:dyDescent="0.55000000000000004">
      <c r="C23" s="8"/>
      <c r="D23" s="8"/>
      <c r="E23" s="8"/>
      <c r="F23" s="8"/>
      <c r="G23" s="8"/>
      <c r="H23" s="8"/>
    </row>
    <row r="24" spans="3:18" x14ac:dyDescent="0.55000000000000004">
      <c r="C24" s="8"/>
      <c r="D24" s="8"/>
      <c r="E24" s="8"/>
      <c r="F24" s="8"/>
      <c r="G24" s="8"/>
      <c r="H24" s="8"/>
    </row>
    <row r="25" spans="3:18" x14ac:dyDescent="0.55000000000000004">
      <c r="C25" s="8"/>
      <c r="D25" s="8"/>
      <c r="E25" s="8"/>
      <c r="F25" s="8"/>
      <c r="G25" s="8"/>
      <c r="H25" s="8"/>
      <c r="P25" t="s">
        <v>26</v>
      </c>
      <c r="Q25" t="s">
        <v>28</v>
      </c>
      <c r="R25" t="s">
        <v>27</v>
      </c>
    </row>
    <row r="26" spans="3:18" x14ac:dyDescent="0.55000000000000004">
      <c r="C26" s="8"/>
      <c r="D26" s="8"/>
      <c r="E26" s="8"/>
      <c r="F26" s="8"/>
      <c r="G26" s="8"/>
      <c r="H26" s="8"/>
      <c r="L26">
        <f>7.7 + 1.6</f>
        <v>9.3000000000000007</v>
      </c>
      <c r="M26">
        <v>9.3000000000000007</v>
      </c>
      <c r="O26">
        <v>0</v>
      </c>
      <c r="P26">
        <f>O26*60</f>
        <v>0</v>
      </c>
      <c r="Q26">
        <v>9.3000000000000007</v>
      </c>
      <c r="R26">
        <v>30</v>
      </c>
    </row>
    <row r="27" spans="3:18" x14ac:dyDescent="0.55000000000000004">
      <c r="L27">
        <v>16.100000000000001</v>
      </c>
      <c r="M27">
        <f>L27-L26</f>
        <v>6.8000000000000007</v>
      </c>
      <c r="O27">
        <v>3</v>
      </c>
      <c r="P27">
        <f t="shared" ref="P27:P34" si="2">O27*60</f>
        <v>180</v>
      </c>
      <c r="Q27">
        <v>6.8000000000000007</v>
      </c>
      <c r="R27">
        <v>32</v>
      </c>
    </row>
    <row r="28" spans="3:18" x14ac:dyDescent="0.55000000000000004">
      <c r="C28" t="s">
        <v>12</v>
      </c>
      <c r="L28">
        <v>24.5</v>
      </c>
      <c r="M28">
        <f t="shared" ref="M28:M34" si="3">L28-L27</f>
        <v>8.3999999999999986</v>
      </c>
      <c r="O28">
        <v>6</v>
      </c>
      <c r="P28">
        <f t="shared" si="2"/>
        <v>360</v>
      </c>
      <c r="Q28">
        <v>8.3999999999999986</v>
      </c>
      <c r="R28">
        <v>35</v>
      </c>
    </row>
    <row r="29" spans="3:18" x14ac:dyDescent="0.55000000000000004">
      <c r="C29" s="7" t="s">
        <v>13</v>
      </c>
      <c r="D29" s="7"/>
      <c r="E29" s="7"/>
      <c r="L29">
        <v>32.1</v>
      </c>
      <c r="M29">
        <f t="shared" si="3"/>
        <v>7.6000000000000014</v>
      </c>
      <c r="O29">
        <v>9</v>
      </c>
      <c r="P29">
        <f t="shared" si="2"/>
        <v>540</v>
      </c>
      <c r="Q29">
        <v>7.6000000000000014</v>
      </c>
      <c r="R29">
        <v>36</v>
      </c>
    </row>
    <row r="30" spans="3:18" x14ac:dyDescent="0.55000000000000004">
      <c r="C30" s="7"/>
      <c r="D30" s="7"/>
      <c r="E30" s="7"/>
      <c r="L30">
        <v>40.200000000000003</v>
      </c>
      <c r="M30">
        <f t="shared" si="3"/>
        <v>8.1000000000000014</v>
      </c>
      <c r="O30">
        <v>12</v>
      </c>
      <c r="P30">
        <f t="shared" si="2"/>
        <v>720</v>
      </c>
      <c r="Q30">
        <v>8.1000000000000014</v>
      </c>
      <c r="R30">
        <v>36.799999999999997</v>
      </c>
    </row>
    <row r="31" spans="3:18" x14ac:dyDescent="0.55000000000000004">
      <c r="C31" s="7"/>
      <c r="D31" s="7"/>
      <c r="E31" s="7"/>
      <c r="L31">
        <v>48.2</v>
      </c>
      <c r="M31">
        <f t="shared" si="3"/>
        <v>8</v>
      </c>
      <c r="O31">
        <v>15</v>
      </c>
      <c r="P31">
        <f t="shared" si="2"/>
        <v>900</v>
      </c>
      <c r="Q31">
        <v>8</v>
      </c>
      <c r="R31">
        <v>37.5</v>
      </c>
    </row>
    <row r="32" spans="3:18" x14ac:dyDescent="0.55000000000000004">
      <c r="C32" s="7"/>
      <c r="D32" s="7"/>
      <c r="E32" s="7"/>
      <c r="L32">
        <v>7</v>
      </c>
      <c r="M32">
        <v>7</v>
      </c>
      <c r="O32">
        <v>20</v>
      </c>
      <c r="P32">
        <f t="shared" si="2"/>
        <v>1200</v>
      </c>
      <c r="Q32">
        <v>7</v>
      </c>
      <c r="R32">
        <v>37.6</v>
      </c>
    </row>
    <row r="33" spans="3:18" x14ac:dyDescent="0.55000000000000004">
      <c r="C33" s="7"/>
      <c r="D33" s="7"/>
      <c r="E33" s="7"/>
      <c r="L33">
        <f xml:space="preserve"> 15.8 -1.6</f>
        <v>14.200000000000001</v>
      </c>
      <c r="M33">
        <f t="shared" si="3"/>
        <v>7.2000000000000011</v>
      </c>
      <c r="O33">
        <v>25</v>
      </c>
      <c r="P33">
        <f t="shared" si="2"/>
        <v>1500</v>
      </c>
      <c r="Q33">
        <v>7.2000000000000011</v>
      </c>
      <c r="R33">
        <v>37.299999999999997</v>
      </c>
    </row>
    <row r="34" spans="3:18" x14ac:dyDescent="0.55000000000000004">
      <c r="C34" s="7"/>
      <c r="D34" s="7"/>
      <c r="E34" s="7"/>
      <c r="L34">
        <f>22.2 -1.6</f>
        <v>20.599999999999998</v>
      </c>
      <c r="M34">
        <f t="shared" si="3"/>
        <v>6.3999999999999968</v>
      </c>
      <c r="O34">
        <v>30</v>
      </c>
      <c r="P34">
        <f t="shared" si="2"/>
        <v>1800</v>
      </c>
      <c r="Q34">
        <v>6.3999999999999968</v>
      </c>
      <c r="R34">
        <v>36.799999999999997</v>
      </c>
    </row>
    <row r="35" spans="3:18" x14ac:dyDescent="0.55000000000000004">
      <c r="C35" s="7"/>
      <c r="D35" s="7"/>
      <c r="E35" s="7"/>
    </row>
    <row r="41" spans="3:18" x14ac:dyDescent="0.55000000000000004">
      <c r="L41">
        <v>0</v>
      </c>
      <c r="M41" t="s">
        <v>31</v>
      </c>
    </row>
    <row r="42" spans="3:18" x14ac:dyDescent="0.55000000000000004">
      <c r="L42" s="2">
        <v>0.1875</v>
      </c>
      <c r="M42" t="s">
        <v>32</v>
      </c>
    </row>
    <row r="43" spans="3:18" x14ac:dyDescent="0.55000000000000004">
      <c r="L43">
        <v>8</v>
      </c>
      <c r="M43" t="s">
        <v>33</v>
      </c>
    </row>
    <row r="44" spans="3:18" x14ac:dyDescent="0.55000000000000004">
      <c r="L44">
        <v>12</v>
      </c>
      <c r="M44" t="s">
        <v>35</v>
      </c>
    </row>
    <row r="45" spans="3:18" x14ac:dyDescent="0.55000000000000004">
      <c r="L45">
        <v>16</v>
      </c>
      <c r="M45" t="s">
        <v>37</v>
      </c>
    </row>
    <row r="46" spans="3:18" x14ac:dyDescent="0.55000000000000004">
      <c r="L46">
        <v>20</v>
      </c>
      <c r="M46" t="s">
        <v>38</v>
      </c>
    </row>
    <row r="47" spans="3:18" x14ac:dyDescent="0.55000000000000004">
      <c r="L47">
        <v>24</v>
      </c>
      <c r="M47" t="s">
        <v>40</v>
      </c>
    </row>
    <row r="48" spans="3:18" x14ac:dyDescent="0.55000000000000004">
      <c r="L48">
        <v>28</v>
      </c>
      <c r="M48" t="s">
        <v>41</v>
      </c>
    </row>
    <row r="49" spans="12:26" x14ac:dyDescent="0.55000000000000004">
      <c r="L49">
        <v>32</v>
      </c>
      <c r="M49" t="s">
        <v>42</v>
      </c>
    </row>
    <row r="50" spans="12:26" x14ac:dyDescent="0.55000000000000004">
      <c r="M50" t="s">
        <v>43</v>
      </c>
      <c r="N50" t="s">
        <v>44</v>
      </c>
      <c r="O50" t="s">
        <v>45</v>
      </c>
      <c r="R50" t="s">
        <v>26</v>
      </c>
      <c r="S50" t="s">
        <v>47</v>
      </c>
      <c r="V50" t="s">
        <v>48</v>
      </c>
      <c r="X50" t="s">
        <v>26</v>
      </c>
      <c r="Y50" t="s">
        <v>49</v>
      </c>
      <c r="Z50" t="s">
        <v>70</v>
      </c>
    </row>
    <row r="51" spans="12:26" x14ac:dyDescent="0.55000000000000004">
      <c r="L51">
        <v>8.1</v>
      </c>
      <c r="M51">
        <f>L51</f>
        <v>8.1</v>
      </c>
      <c r="N51">
        <v>0.45</v>
      </c>
      <c r="O51">
        <f>M51-$N$51/2</f>
        <v>7.875</v>
      </c>
      <c r="Q51" s="3">
        <v>0.5</v>
      </c>
      <c r="R51">
        <f>Q51*60</f>
        <v>30</v>
      </c>
      <c r="S51">
        <f t="shared" ref="S51:S59" si="4">O51</f>
        <v>7.875</v>
      </c>
      <c r="V51">
        <f>1/1000</f>
        <v>1E-3</v>
      </c>
      <c r="X51">
        <f>R51</f>
        <v>30</v>
      </c>
      <c r="Y51">
        <f t="shared" ref="Y51:Y59" si="5">S51*$V$51</f>
        <v>7.8750000000000001E-3</v>
      </c>
      <c r="Z51">
        <f>Y51*((0.05/N$51) + (0.05/M51))</f>
        <v>9.2361111111111116E-4</v>
      </c>
    </row>
    <row r="52" spans="12:26" x14ac:dyDescent="0.55000000000000004">
      <c r="L52">
        <v>15.9</v>
      </c>
      <c r="M52">
        <f>L52-L51</f>
        <v>7.8000000000000007</v>
      </c>
      <c r="O52">
        <f t="shared" ref="O52:O59" si="6">M52-$N$51/2</f>
        <v>7.5750000000000011</v>
      </c>
      <c r="Q52" s="3">
        <v>4.5</v>
      </c>
      <c r="R52">
        <f t="shared" ref="R52:R58" si="7">Q52*60</f>
        <v>270</v>
      </c>
      <c r="S52">
        <f t="shared" si="4"/>
        <v>7.5750000000000011</v>
      </c>
      <c r="X52">
        <f t="shared" ref="X52:X59" si="8">R52</f>
        <v>270</v>
      </c>
      <c r="Y52">
        <f t="shared" si="5"/>
        <v>7.575000000000001E-3</v>
      </c>
      <c r="Z52">
        <f t="shared" ref="Z52:Z58" si="9">Y52*((0.05/N$51) + (0.05/M52))</f>
        <v>8.9022435897435914E-4</v>
      </c>
    </row>
    <row r="53" spans="12:26" x14ac:dyDescent="0.55000000000000004">
      <c r="L53">
        <v>23.3</v>
      </c>
      <c r="M53">
        <f>L53-L52</f>
        <v>7.4</v>
      </c>
      <c r="O53">
        <f t="shared" si="6"/>
        <v>7.1750000000000007</v>
      </c>
      <c r="Q53" s="3">
        <v>8</v>
      </c>
      <c r="R53">
        <f t="shared" si="7"/>
        <v>480</v>
      </c>
      <c r="S53">
        <f t="shared" si="4"/>
        <v>7.1750000000000007</v>
      </c>
      <c r="X53">
        <f t="shared" si="8"/>
        <v>480</v>
      </c>
      <c r="Y53">
        <f t="shared" si="5"/>
        <v>7.1750000000000008E-3</v>
      </c>
      <c r="Z53">
        <f t="shared" si="9"/>
        <v>8.4570195195195208E-4</v>
      </c>
    </row>
    <row r="54" spans="12:26" x14ac:dyDescent="0.55000000000000004">
      <c r="L54">
        <v>30.2</v>
      </c>
      <c r="M54">
        <f t="shared" ref="M54:M56" si="10">L54-L53</f>
        <v>6.8999999999999986</v>
      </c>
      <c r="O54">
        <f t="shared" si="6"/>
        <v>6.6749999999999989</v>
      </c>
      <c r="Q54" s="3">
        <v>12</v>
      </c>
      <c r="R54">
        <f t="shared" si="7"/>
        <v>720</v>
      </c>
      <c r="S54">
        <f t="shared" si="4"/>
        <v>6.6749999999999989</v>
      </c>
      <c r="X54">
        <f t="shared" si="8"/>
        <v>720</v>
      </c>
      <c r="Y54">
        <f t="shared" si="5"/>
        <v>6.6749999999999986E-3</v>
      </c>
      <c r="Z54">
        <f t="shared" si="9"/>
        <v>7.9003623188405789E-4</v>
      </c>
    </row>
    <row r="55" spans="12:26" x14ac:dyDescent="0.55000000000000004">
      <c r="L55">
        <v>36.85</v>
      </c>
      <c r="M55">
        <f t="shared" si="10"/>
        <v>6.6500000000000021</v>
      </c>
      <c r="O55">
        <f t="shared" si="6"/>
        <v>6.4250000000000025</v>
      </c>
      <c r="Q55" s="3">
        <v>16</v>
      </c>
      <c r="R55">
        <f t="shared" si="7"/>
        <v>960</v>
      </c>
      <c r="S55">
        <f t="shared" si="4"/>
        <v>6.4250000000000025</v>
      </c>
      <c r="X55">
        <f t="shared" si="8"/>
        <v>960</v>
      </c>
      <c r="Y55">
        <f t="shared" si="5"/>
        <v>6.4250000000000028E-3</v>
      </c>
      <c r="Z55">
        <f t="shared" si="9"/>
        <v>7.6219715956558096E-4</v>
      </c>
    </row>
    <row r="56" spans="12:26" x14ac:dyDescent="0.55000000000000004">
      <c r="L56">
        <v>43</v>
      </c>
      <c r="M56">
        <f t="shared" si="10"/>
        <v>6.1499999999999986</v>
      </c>
      <c r="O56">
        <f t="shared" si="6"/>
        <v>5.9249999999999989</v>
      </c>
      <c r="Q56" s="3">
        <v>20</v>
      </c>
      <c r="R56">
        <f t="shared" si="7"/>
        <v>1200</v>
      </c>
      <c r="S56">
        <f t="shared" si="4"/>
        <v>5.9249999999999989</v>
      </c>
      <c r="X56">
        <f t="shared" si="8"/>
        <v>1200</v>
      </c>
      <c r="Y56">
        <f t="shared" si="5"/>
        <v>5.9249999999999988E-3</v>
      </c>
      <c r="Z56">
        <f t="shared" si="9"/>
        <v>7.0650406504065033E-4</v>
      </c>
    </row>
    <row r="57" spans="12:26" x14ac:dyDescent="0.55000000000000004">
      <c r="L57">
        <v>6.1</v>
      </c>
      <c r="M57">
        <f>L57</f>
        <v>6.1</v>
      </c>
      <c r="O57">
        <f t="shared" si="6"/>
        <v>5.875</v>
      </c>
      <c r="Q57" s="3">
        <v>24</v>
      </c>
      <c r="R57">
        <f t="shared" si="7"/>
        <v>1440</v>
      </c>
      <c r="S57">
        <f t="shared" si="4"/>
        <v>5.875</v>
      </c>
      <c r="X57">
        <f t="shared" si="8"/>
        <v>1440</v>
      </c>
      <c r="Y57">
        <f t="shared" si="5"/>
        <v>5.875E-3</v>
      </c>
      <c r="Z57">
        <f t="shared" si="9"/>
        <v>7.0093351548269585E-4</v>
      </c>
    </row>
    <row r="58" spans="12:26" x14ac:dyDescent="0.55000000000000004">
      <c r="L58">
        <v>12.05</v>
      </c>
      <c r="M58">
        <f>L58-L57</f>
        <v>5.9500000000000011</v>
      </c>
      <c r="O58">
        <f t="shared" si="6"/>
        <v>5.7250000000000014</v>
      </c>
      <c r="Q58" s="3">
        <v>28</v>
      </c>
      <c r="R58">
        <f t="shared" si="7"/>
        <v>1680</v>
      </c>
      <c r="S58">
        <f t="shared" si="4"/>
        <v>5.7250000000000014</v>
      </c>
      <c r="X58">
        <f t="shared" si="8"/>
        <v>1680</v>
      </c>
      <c r="Y58">
        <f t="shared" si="5"/>
        <v>5.7250000000000018E-3</v>
      </c>
      <c r="Z58">
        <f t="shared" si="9"/>
        <v>6.8422035480859031E-4</v>
      </c>
    </row>
    <row r="59" spans="12:26" x14ac:dyDescent="0.55000000000000004">
      <c r="L59">
        <v>17.850000000000001</v>
      </c>
      <c r="M59">
        <f>L59-L58</f>
        <v>5.8000000000000007</v>
      </c>
      <c r="O59">
        <f t="shared" si="6"/>
        <v>5.5750000000000011</v>
      </c>
      <c r="Q59" s="3">
        <v>32</v>
      </c>
      <c r="R59">
        <f>Q59*60</f>
        <v>1920</v>
      </c>
      <c r="S59">
        <f t="shared" si="4"/>
        <v>5.5750000000000011</v>
      </c>
      <c r="X59">
        <f t="shared" si="8"/>
        <v>1920</v>
      </c>
      <c r="Y59">
        <f t="shared" si="5"/>
        <v>5.575000000000001E-3</v>
      </c>
      <c r="Z59">
        <f>Y59*((0.05/N$51) + (0.05/M59))</f>
        <v>6.6750478927203084E-4</v>
      </c>
    </row>
    <row r="75" spans="17:17" x14ac:dyDescent="0.55000000000000004">
      <c r="Q75" s="4"/>
    </row>
    <row r="82" spans="12:26" x14ac:dyDescent="0.55000000000000004">
      <c r="M82" t="s">
        <v>43</v>
      </c>
      <c r="N82" t="s">
        <v>44</v>
      </c>
      <c r="O82" t="s">
        <v>45</v>
      </c>
      <c r="R82" t="s">
        <v>26</v>
      </c>
      <c r="S82" t="s">
        <v>47</v>
      </c>
      <c r="V82" t="s">
        <v>48</v>
      </c>
      <c r="X82" t="s">
        <v>26</v>
      </c>
      <c r="Y82" t="s">
        <v>49</v>
      </c>
    </row>
    <row r="83" spans="12:26" x14ac:dyDescent="0.55000000000000004">
      <c r="L83">
        <v>8.33</v>
      </c>
      <c r="M83">
        <v>8.33</v>
      </c>
      <c r="N83">
        <v>0.5</v>
      </c>
      <c r="O83" s="4">
        <f>M83-$N$83/2</f>
        <v>8.08</v>
      </c>
      <c r="Q83">
        <v>1</v>
      </c>
      <c r="R83">
        <f>Q83*60</f>
        <v>60</v>
      </c>
      <c r="S83" s="4">
        <f t="shared" ref="S83:S91" si="11">O83</f>
        <v>8.08</v>
      </c>
      <c r="V83">
        <f>1/1000</f>
        <v>1E-3</v>
      </c>
      <c r="X83">
        <f>R83</f>
        <v>60</v>
      </c>
      <c r="Y83">
        <f>S83*$V$51</f>
        <v>8.0800000000000004E-3</v>
      </c>
    </row>
    <row r="84" spans="12:26" x14ac:dyDescent="0.55000000000000004">
      <c r="L84">
        <v>16.399999999999999</v>
      </c>
      <c r="M84">
        <f>L84-L83</f>
        <v>8.0699999999999985</v>
      </c>
      <c r="O84" s="4">
        <f t="shared" ref="O84:O91" si="12">M84-$N$83/2</f>
        <v>7.8199999999999985</v>
      </c>
      <c r="Q84">
        <v>5</v>
      </c>
      <c r="R84">
        <f t="shared" ref="R84:R90" si="13">Q84*60</f>
        <v>300</v>
      </c>
      <c r="S84" s="4">
        <f t="shared" si="11"/>
        <v>7.8199999999999985</v>
      </c>
      <c r="X84">
        <f t="shared" ref="X84:X91" si="14">R84</f>
        <v>300</v>
      </c>
      <c r="Y84">
        <f t="shared" ref="Y84:Y91" si="15">S84*$V$51</f>
        <v>7.8199999999999988E-3</v>
      </c>
    </row>
    <row r="85" spans="12:26" x14ac:dyDescent="0.55000000000000004">
      <c r="L85">
        <v>7.6</v>
      </c>
      <c r="M85">
        <v>7.6</v>
      </c>
      <c r="O85" s="4">
        <f t="shared" si="12"/>
        <v>7.35</v>
      </c>
      <c r="Q85">
        <f xml:space="preserve"> 9 + 35/60</f>
        <v>9.5833333333333339</v>
      </c>
      <c r="R85">
        <f t="shared" si="13"/>
        <v>575</v>
      </c>
      <c r="S85" s="4">
        <f t="shared" si="11"/>
        <v>7.35</v>
      </c>
      <c r="X85">
        <f t="shared" si="14"/>
        <v>575</v>
      </c>
      <c r="Y85">
        <f t="shared" si="15"/>
        <v>7.3499999999999998E-3</v>
      </c>
      <c r="Z85" t="s">
        <v>61</v>
      </c>
    </row>
    <row r="86" spans="12:26" x14ac:dyDescent="0.55000000000000004">
      <c r="L86">
        <v>15.2</v>
      </c>
      <c r="M86">
        <f>L86-L85</f>
        <v>7.6</v>
      </c>
      <c r="O86" s="4">
        <f t="shared" si="12"/>
        <v>7.35</v>
      </c>
      <c r="Q86">
        <v>13</v>
      </c>
      <c r="R86">
        <f t="shared" si="13"/>
        <v>780</v>
      </c>
      <c r="S86" s="4">
        <f t="shared" si="11"/>
        <v>7.35</v>
      </c>
      <c r="X86">
        <f t="shared" si="14"/>
        <v>780</v>
      </c>
      <c r="Y86">
        <f t="shared" si="15"/>
        <v>7.3499999999999998E-3</v>
      </c>
    </row>
    <row r="87" spans="12:26" x14ac:dyDescent="0.55000000000000004">
      <c r="L87">
        <v>22.2</v>
      </c>
      <c r="M87">
        <f>L87-L86</f>
        <v>7</v>
      </c>
      <c r="O87" s="4">
        <f t="shared" si="12"/>
        <v>6.75</v>
      </c>
      <c r="Q87">
        <v>17</v>
      </c>
      <c r="R87">
        <f t="shared" si="13"/>
        <v>1020</v>
      </c>
      <c r="S87" s="4">
        <f t="shared" si="11"/>
        <v>6.75</v>
      </c>
      <c r="X87">
        <f t="shared" si="14"/>
        <v>1020</v>
      </c>
      <c r="Y87">
        <f t="shared" si="15"/>
        <v>6.7499999999999999E-3</v>
      </c>
    </row>
    <row r="88" spans="12:26" x14ac:dyDescent="0.55000000000000004">
      <c r="L88">
        <v>29.2</v>
      </c>
      <c r="M88">
        <f>L88-L87</f>
        <v>7</v>
      </c>
      <c r="O88" s="4">
        <f t="shared" si="12"/>
        <v>6.75</v>
      </c>
      <c r="Q88">
        <v>21</v>
      </c>
      <c r="R88">
        <f t="shared" si="13"/>
        <v>1260</v>
      </c>
      <c r="S88" s="4">
        <f t="shared" si="11"/>
        <v>6.75</v>
      </c>
      <c r="X88">
        <f t="shared" si="14"/>
        <v>1260</v>
      </c>
      <c r="Y88">
        <f t="shared" si="15"/>
        <v>6.7499999999999999E-3</v>
      </c>
      <c r="Z88" t="s">
        <v>60</v>
      </c>
    </row>
    <row r="89" spans="12:26" x14ac:dyDescent="0.55000000000000004">
      <c r="L89">
        <v>36.1</v>
      </c>
      <c r="M89">
        <f>L89-L88</f>
        <v>6.9000000000000021</v>
      </c>
      <c r="O89" s="4">
        <f t="shared" si="12"/>
        <v>6.6500000000000021</v>
      </c>
      <c r="Q89">
        <v>25</v>
      </c>
      <c r="R89">
        <f t="shared" si="13"/>
        <v>1500</v>
      </c>
      <c r="S89" s="4">
        <f t="shared" si="11"/>
        <v>6.6500000000000021</v>
      </c>
      <c r="X89">
        <f t="shared" si="14"/>
        <v>1500</v>
      </c>
      <c r="Y89">
        <f t="shared" si="15"/>
        <v>6.6500000000000023E-3</v>
      </c>
    </row>
    <row r="90" spans="12:26" x14ac:dyDescent="0.55000000000000004">
      <c r="L90">
        <v>6.3</v>
      </c>
      <c r="M90">
        <v>6.3</v>
      </c>
      <c r="O90" s="4">
        <f t="shared" si="12"/>
        <v>6.05</v>
      </c>
      <c r="Q90">
        <f>29 + 20/60</f>
        <v>29.333333333333332</v>
      </c>
      <c r="R90">
        <f t="shared" si="13"/>
        <v>1760</v>
      </c>
      <c r="S90" s="4">
        <f t="shared" si="11"/>
        <v>6.05</v>
      </c>
      <c r="X90">
        <f t="shared" si="14"/>
        <v>1760</v>
      </c>
      <c r="Y90">
        <f t="shared" si="15"/>
        <v>6.0499999999999998E-3</v>
      </c>
      <c r="Z90" t="s">
        <v>62</v>
      </c>
    </row>
    <row r="91" spans="12:26" x14ac:dyDescent="0.55000000000000004">
      <c r="L91">
        <v>12.75</v>
      </c>
      <c r="M91">
        <f>L91-L90</f>
        <v>6.45</v>
      </c>
      <c r="O91" s="4">
        <f t="shared" si="12"/>
        <v>6.2</v>
      </c>
      <c r="Q91">
        <v>33</v>
      </c>
      <c r="R91">
        <f>Q91*60</f>
        <v>1980</v>
      </c>
      <c r="S91" s="4">
        <f t="shared" si="11"/>
        <v>6.2</v>
      </c>
      <c r="X91">
        <f t="shared" si="14"/>
        <v>1980</v>
      </c>
      <c r="Y91">
        <f t="shared" si="15"/>
        <v>6.2000000000000006E-3</v>
      </c>
    </row>
    <row r="97" spans="12:30" x14ac:dyDescent="0.55000000000000004">
      <c r="AA97" s="6" t="s">
        <v>68</v>
      </c>
      <c r="AB97" s="6"/>
      <c r="AC97" s="6"/>
    </row>
    <row r="98" spans="12:30" x14ac:dyDescent="0.55000000000000004">
      <c r="M98" t="s">
        <v>43</v>
      </c>
      <c r="N98" t="s">
        <v>44</v>
      </c>
      <c r="O98" t="s">
        <v>45</v>
      </c>
      <c r="R98" t="s">
        <v>26</v>
      </c>
      <c r="S98" t="s">
        <v>47</v>
      </c>
      <c r="V98" t="s">
        <v>48</v>
      </c>
      <c r="X98" t="s">
        <v>26</v>
      </c>
      <c r="Y98" t="s">
        <v>49</v>
      </c>
      <c r="AA98" t="s">
        <v>26</v>
      </c>
      <c r="AB98" t="s">
        <v>49</v>
      </c>
      <c r="AC98" t="s">
        <v>69</v>
      </c>
    </row>
    <row r="99" spans="12:30" x14ac:dyDescent="0.55000000000000004">
      <c r="L99">
        <v>8.4</v>
      </c>
      <c r="M99">
        <v>8.33</v>
      </c>
      <c r="N99">
        <v>0.69999999999999929</v>
      </c>
      <c r="O99" s="4">
        <f>M99-$N$99/2</f>
        <v>7.98</v>
      </c>
      <c r="P99" s="4">
        <v>21</v>
      </c>
      <c r="Q99" s="4">
        <v>1</v>
      </c>
      <c r="R99" s="4">
        <f>Q99*60+P99</f>
        <v>81</v>
      </c>
      <c r="S99" s="4">
        <f t="shared" ref="S99:S107" si="16">O99</f>
        <v>7.98</v>
      </c>
      <c r="V99">
        <f>1/1000</f>
        <v>1E-3</v>
      </c>
      <c r="X99">
        <f>R99</f>
        <v>81</v>
      </c>
      <c r="Y99">
        <f>S99*$V$51</f>
        <v>7.980000000000001E-3</v>
      </c>
      <c r="Z99">
        <f>Y99*((0.05/N$99) + (0.05/M99))</f>
        <v>6.1789915966386621E-4</v>
      </c>
      <c r="AA99">
        <v>81</v>
      </c>
      <c r="AB99" s="9">
        <v>7.6300000000000014E-3</v>
      </c>
      <c r="AC99" t="b">
        <f>AB99=Y99</f>
        <v>0</v>
      </c>
    </row>
    <row r="100" spans="12:30" x14ac:dyDescent="0.55000000000000004">
      <c r="L100">
        <v>15.6</v>
      </c>
      <c r="M100">
        <f>L100-L99</f>
        <v>7.1999999999999993</v>
      </c>
      <c r="O100" s="4">
        <f t="shared" ref="O100:O110" si="17">M100-$N$99/2</f>
        <v>6.85</v>
      </c>
      <c r="P100" s="4">
        <v>5</v>
      </c>
      <c r="Q100" s="4">
        <v>4</v>
      </c>
      <c r="R100" s="4">
        <f>Q100*60+P100</f>
        <v>245</v>
      </c>
      <c r="S100" s="4">
        <f t="shared" si="16"/>
        <v>6.85</v>
      </c>
      <c r="X100">
        <f t="shared" ref="X100:X107" si="18">R100</f>
        <v>245</v>
      </c>
      <c r="Y100">
        <f t="shared" ref="Y100:Y107" si="19">S100*$V$51</f>
        <v>6.8500000000000002E-3</v>
      </c>
      <c r="Z100">
        <f>Y100*((0.05/N$99) + (0.05/M100))</f>
        <v>5.3685515873015926E-4</v>
      </c>
      <c r="AA100">
        <v>245</v>
      </c>
      <c r="AB100" s="9">
        <v>6.4999999999999997E-3</v>
      </c>
      <c r="AC100" t="b">
        <f>AB100=Y100</f>
        <v>0</v>
      </c>
    </row>
    <row r="101" spans="12:30" x14ac:dyDescent="0.55000000000000004">
      <c r="L101">
        <v>21.9</v>
      </c>
      <c r="M101">
        <v>7.6</v>
      </c>
      <c r="O101" s="4">
        <f t="shared" si="17"/>
        <v>7.25</v>
      </c>
      <c r="P101" s="4"/>
      <c r="Q101" s="4">
        <v>7</v>
      </c>
      <c r="R101" s="4">
        <f t="shared" ref="R101:R106" si="20">Q101*60</f>
        <v>420</v>
      </c>
      <c r="S101" s="4">
        <f t="shared" si="16"/>
        <v>7.25</v>
      </c>
      <c r="X101">
        <f t="shared" si="18"/>
        <v>420</v>
      </c>
      <c r="Y101">
        <f t="shared" si="19"/>
        <v>7.2500000000000004E-3</v>
      </c>
      <c r="Z101">
        <f t="shared" ref="Z100:Z110" si="21">Y101*((0.05/N$99) + (0.05/M101))</f>
        <v>5.6555451127819612E-4</v>
      </c>
      <c r="AA101">
        <v>420</v>
      </c>
      <c r="AB101" s="9">
        <v>5.4999999999999997E-3</v>
      </c>
      <c r="AC101" t="b">
        <f>AB101=Y101</f>
        <v>0</v>
      </c>
      <c r="AD101" t="s">
        <v>64</v>
      </c>
    </row>
    <row r="102" spans="12:30" x14ac:dyDescent="0.55000000000000004">
      <c r="L102">
        <v>27.6</v>
      </c>
      <c r="M102">
        <f>L102-L101</f>
        <v>5.7000000000000028</v>
      </c>
      <c r="O102" s="4">
        <f t="shared" si="17"/>
        <v>5.3500000000000032</v>
      </c>
      <c r="P102" s="4"/>
      <c r="Q102" s="4">
        <v>10</v>
      </c>
      <c r="R102" s="4">
        <f t="shared" si="20"/>
        <v>600</v>
      </c>
      <c r="S102" s="4">
        <f t="shared" si="16"/>
        <v>5.3500000000000032</v>
      </c>
      <c r="X102">
        <f t="shared" si="18"/>
        <v>600</v>
      </c>
      <c r="Y102">
        <f t="shared" si="19"/>
        <v>5.3500000000000032E-3</v>
      </c>
      <c r="Z102">
        <f t="shared" si="21"/>
        <v>4.2907268170426131E-4</v>
      </c>
      <c r="AA102">
        <v>600</v>
      </c>
      <c r="AB102" s="9">
        <v>5.0000000000000036E-3</v>
      </c>
      <c r="AC102" t="b">
        <f t="shared" ref="AC100:AC110" si="22">AB102=Y102</f>
        <v>0</v>
      </c>
      <c r="AD102" t="s">
        <v>65</v>
      </c>
    </row>
    <row r="103" spans="12:30" x14ac:dyDescent="0.55000000000000004">
      <c r="L103">
        <v>33</v>
      </c>
      <c r="M103">
        <f>L103-L102</f>
        <v>5.3999999999999986</v>
      </c>
      <c r="O103" s="4">
        <f t="shared" si="17"/>
        <v>5.0499999999999989</v>
      </c>
      <c r="P103" s="4"/>
      <c r="Q103" s="4">
        <v>13</v>
      </c>
      <c r="R103" s="4">
        <f t="shared" si="20"/>
        <v>780</v>
      </c>
      <c r="S103" s="4">
        <f t="shared" si="16"/>
        <v>5.0499999999999989</v>
      </c>
      <c r="X103">
        <f t="shared" si="18"/>
        <v>780</v>
      </c>
      <c r="Y103">
        <f t="shared" si="19"/>
        <v>5.0499999999999989E-3</v>
      </c>
      <c r="Z103">
        <f t="shared" si="21"/>
        <v>4.0747354497354529E-4</v>
      </c>
      <c r="AA103">
        <v>780</v>
      </c>
      <c r="AB103" s="9">
        <v>4.6999999999999993E-3</v>
      </c>
      <c r="AC103" t="b">
        <f t="shared" si="22"/>
        <v>0</v>
      </c>
      <c r="AD103" t="s">
        <v>66</v>
      </c>
    </row>
    <row r="104" spans="12:30" x14ac:dyDescent="0.55000000000000004">
      <c r="L104">
        <v>38.1</v>
      </c>
      <c r="M104">
        <f>L104-L103</f>
        <v>5.1000000000000014</v>
      </c>
      <c r="O104" s="4">
        <f t="shared" si="17"/>
        <v>4.7500000000000018</v>
      </c>
      <c r="P104" s="4"/>
      <c r="Q104" s="4">
        <v>16</v>
      </c>
      <c r="R104" s="4">
        <f>Q104*60</f>
        <v>960</v>
      </c>
      <c r="S104" s="4">
        <f t="shared" si="16"/>
        <v>4.7500000000000018</v>
      </c>
      <c r="X104">
        <f t="shared" si="18"/>
        <v>960</v>
      </c>
      <c r="Y104">
        <f t="shared" si="19"/>
        <v>4.7500000000000016E-3</v>
      </c>
      <c r="Z104">
        <f t="shared" si="21"/>
        <v>3.8585434173669513E-4</v>
      </c>
      <c r="AA104">
        <v>960</v>
      </c>
      <c r="AB104" s="9">
        <v>4.400000000000002E-3</v>
      </c>
      <c r="AC104" t="b">
        <f t="shared" si="22"/>
        <v>0</v>
      </c>
    </row>
    <row r="105" spans="12:30" x14ac:dyDescent="0.55000000000000004">
      <c r="L105">
        <v>43</v>
      </c>
      <c r="M105">
        <f>L105-L104</f>
        <v>4.8999999999999986</v>
      </c>
      <c r="O105" s="4">
        <f t="shared" si="17"/>
        <v>4.5499999999999989</v>
      </c>
      <c r="P105" s="4"/>
      <c r="Q105" s="4">
        <v>19</v>
      </c>
      <c r="R105" s="4">
        <f t="shared" si="20"/>
        <v>1140</v>
      </c>
      <c r="S105" s="4">
        <f t="shared" si="16"/>
        <v>4.5499999999999989</v>
      </c>
      <c r="X105">
        <f t="shared" si="18"/>
        <v>1140</v>
      </c>
      <c r="Y105">
        <f t="shared" si="19"/>
        <v>4.5499999999999994E-3</v>
      </c>
      <c r="Z105">
        <f t="shared" si="21"/>
        <v>3.7142857142857181E-4</v>
      </c>
      <c r="AA105">
        <v>1140</v>
      </c>
      <c r="AB105" s="9">
        <v>4.15E-3</v>
      </c>
      <c r="AC105" t="b">
        <f t="shared" si="22"/>
        <v>0</v>
      </c>
      <c r="AD105" t="s">
        <v>67</v>
      </c>
    </row>
    <row r="106" spans="12:30" x14ac:dyDescent="0.55000000000000004">
      <c r="L106">
        <v>4.5</v>
      </c>
      <c r="M106">
        <f>L106</f>
        <v>4.5</v>
      </c>
      <c r="O106" s="4">
        <f t="shared" si="17"/>
        <v>4.1500000000000004</v>
      </c>
      <c r="P106" s="4"/>
      <c r="Q106" s="4">
        <v>22</v>
      </c>
      <c r="R106" s="4">
        <f t="shared" si="20"/>
        <v>1320</v>
      </c>
      <c r="S106" s="4">
        <f t="shared" si="16"/>
        <v>4.1500000000000004</v>
      </c>
      <c r="X106">
        <f t="shared" si="18"/>
        <v>1320</v>
      </c>
      <c r="Y106">
        <f t="shared" si="19"/>
        <v>4.15E-3</v>
      </c>
      <c r="Z106">
        <f t="shared" si="21"/>
        <v>3.4253968253968286E-4</v>
      </c>
      <c r="AA106">
        <v>1320</v>
      </c>
      <c r="AB106" s="9">
        <v>3.8E-3</v>
      </c>
      <c r="AC106" t="b">
        <f t="shared" si="22"/>
        <v>0</v>
      </c>
    </row>
    <row r="107" spans="12:30" x14ac:dyDescent="0.55000000000000004">
      <c r="L107">
        <v>8.8000000000000007</v>
      </c>
      <c r="M107">
        <f>L107-L106</f>
        <v>4.3000000000000007</v>
      </c>
      <c r="O107" s="4">
        <f t="shared" si="17"/>
        <v>3.9500000000000011</v>
      </c>
      <c r="P107" s="4"/>
      <c r="Q107" s="4">
        <v>25</v>
      </c>
      <c r="R107" s="4">
        <f>Q107*60</f>
        <v>1500</v>
      </c>
      <c r="S107" s="4">
        <f t="shared" si="16"/>
        <v>3.9500000000000011</v>
      </c>
      <c r="X107">
        <f t="shared" si="18"/>
        <v>1500</v>
      </c>
      <c r="Y107">
        <f t="shared" si="19"/>
        <v>3.9500000000000013E-3</v>
      </c>
      <c r="Z107">
        <f t="shared" si="21"/>
        <v>3.2807308970099708E-4</v>
      </c>
      <c r="AA107">
        <v>1500</v>
      </c>
      <c r="AB107" s="9">
        <v>3.6000000000000016E-3</v>
      </c>
      <c r="AC107" t="b">
        <f t="shared" si="22"/>
        <v>0</v>
      </c>
      <c r="AD107" t="s">
        <v>36</v>
      </c>
    </row>
    <row r="108" spans="12:30" x14ac:dyDescent="0.55000000000000004">
      <c r="L108">
        <v>12.83</v>
      </c>
      <c r="M108">
        <f>L108-L107</f>
        <v>4.0299999999999994</v>
      </c>
      <c r="O108" s="4">
        <f t="shared" si="17"/>
        <v>3.6799999999999997</v>
      </c>
      <c r="P108" s="4"/>
      <c r="Q108" s="4">
        <v>28</v>
      </c>
      <c r="R108" s="4">
        <f t="shared" ref="R108:R109" si="23">Q108*60</f>
        <v>1680</v>
      </c>
      <c r="S108" s="4">
        <f t="shared" ref="S108:S110" si="24">O108</f>
        <v>3.6799999999999997</v>
      </c>
      <c r="X108">
        <f t="shared" ref="X108:X110" si="25">R108</f>
        <v>1680</v>
      </c>
      <c r="Y108">
        <f t="shared" ref="Y108:Y110" si="26">S108*$V$51</f>
        <v>3.6799999999999997E-3</v>
      </c>
      <c r="Z108">
        <f t="shared" si="21"/>
        <v>3.0851471109535656E-4</v>
      </c>
      <c r="AA108">
        <v>1680</v>
      </c>
      <c r="AB108" s="9">
        <v>3.3300000000000001E-3</v>
      </c>
      <c r="AC108" t="b">
        <f t="shared" si="22"/>
        <v>0</v>
      </c>
    </row>
    <row r="109" spans="12:30" x14ac:dyDescent="0.55000000000000004">
      <c r="L109">
        <v>16.899999999999999</v>
      </c>
      <c r="M109">
        <f>L109-L108</f>
        <v>4.0699999999999985</v>
      </c>
      <c r="O109" s="4">
        <f t="shared" si="17"/>
        <v>3.7199999999999989</v>
      </c>
      <c r="P109" s="4"/>
      <c r="Q109" s="4">
        <v>31</v>
      </c>
      <c r="R109" s="4">
        <f t="shared" si="23"/>
        <v>1860</v>
      </c>
      <c r="S109" s="4">
        <f t="shared" si="24"/>
        <v>3.7199999999999989</v>
      </c>
      <c r="X109">
        <f t="shared" si="25"/>
        <v>1860</v>
      </c>
      <c r="Y109">
        <f t="shared" si="26"/>
        <v>3.7199999999999989E-3</v>
      </c>
      <c r="Z109">
        <f t="shared" si="21"/>
        <v>3.1141453141453161E-4</v>
      </c>
      <c r="AA109">
        <v>1860</v>
      </c>
      <c r="AB109" s="9">
        <v>3.2499999999999999E-3</v>
      </c>
      <c r="AC109" t="b">
        <f t="shared" si="22"/>
        <v>0</v>
      </c>
    </row>
    <row r="110" spans="12:30" x14ac:dyDescent="0.55000000000000004">
      <c r="L110">
        <v>20.8</v>
      </c>
      <c r="M110">
        <f>L110-L109</f>
        <v>3.9000000000000021</v>
      </c>
      <c r="O110" s="4">
        <f t="shared" si="17"/>
        <v>3.5500000000000025</v>
      </c>
      <c r="P110" s="4"/>
      <c r="Q110" s="4">
        <v>34</v>
      </c>
      <c r="R110" s="4">
        <f>Q110*60</f>
        <v>2040</v>
      </c>
      <c r="S110" s="4">
        <f t="shared" si="24"/>
        <v>3.5500000000000025</v>
      </c>
      <c r="X110">
        <f t="shared" si="25"/>
        <v>2040</v>
      </c>
      <c r="Y110">
        <f t="shared" si="26"/>
        <v>3.5500000000000024E-3</v>
      </c>
      <c r="Z110">
        <f t="shared" si="21"/>
        <v>2.9908424908424956E-4</v>
      </c>
      <c r="AA110">
        <v>2040</v>
      </c>
      <c r="AB110" s="9">
        <v>3.2000000000000028E-3</v>
      </c>
      <c r="AC110" t="b">
        <f t="shared" si="22"/>
        <v>0</v>
      </c>
    </row>
  </sheetData>
  <mergeCells count="9">
    <mergeCell ref="C15:H15"/>
    <mergeCell ref="C16:D16"/>
    <mergeCell ref="E16:F16"/>
    <mergeCell ref="G16:H16"/>
    <mergeCell ref="AA97:AC97"/>
    <mergeCell ref="C29:E35"/>
    <mergeCell ref="C17:D26"/>
    <mergeCell ref="E17:F26"/>
    <mergeCell ref="G17:H26"/>
  </mergeCells>
  <pageMargins left="0.7" right="0.7" top="0.75" bottom="0.75" header="0.3" footer="0.3"/>
  <pageSetup orientation="portrait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 M</dc:creator>
  <cp:lastModifiedBy>will M</cp:lastModifiedBy>
  <dcterms:created xsi:type="dcterms:W3CDTF">2026-01-07T13:50:42Z</dcterms:created>
  <dcterms:modified xsi:type="dcterms:W3CDTF">2026-01-27T20:36:10Z</dcterms:modified>
</cp:coreProperties>
</file>