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17dc15bcba0753/Documents/"/>
    </mc:Choice>
  </mc:AlternateContent>
  <xr:revisionPtr revIDLastSave="164" documentId="8_{01972D8F-25D8-4298-8FDA-EBF16FB5C2FF}" xr6:coauthVersionLast="47" xr6:coauthVersionMax="47" xr10:uidLastSave="{0D3D429D-8713-4E76-8C90-ABA7A0A48B29}"/>
  <bookViews>
    <workbookView xWindow="11520" yWindow="0" windowWidth="11520" windowHeight="12360" xr2:uid="{BD736AFB-3838-4CD8-AF40-E0AACD85F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5" i="1"/>
  <c r="H6" i="1"/>
  <c r="H7" i="1"/>
  <c r="H8" i="1"/>
  <c r="H10" i="1"/>
  <c r="H11" i="1"/>
  <c r="H12" i="1"/>
  <c r="I24" i="1"/>
  <c r="O18" i="1"/>
  <c r="P18" i="1"/>
  <c r="H18" i="1"/>
  <c r="H17" i="1"/>
  <c r="H15" i="1"/>
  <c r="H16" i="1"/>
  <c r="H4" i="1"/>
  <c r="H13" i="1"/>
  <c r="H14" i="1"/>
  <c r="H3" i="1"/>
  <c r="H24" i="1" l="1"/>
  <c r="J24" i="1" s="1"/>
</calcChain>
</file>

<file path=xl/sharedStrings.xml><?xml version="1.0" encoding="utf-8"?>
<sst xmlns="http://schemas.openxmlformats.org/spreadsheetml/2006/main" count="37" uniqueCount="36">
  <si>
    <t>Components</t>
  </si>
  <si>
    <t>Cost (CAD)</t>
  </si>
  <si>
    <t>Pneumatic Grinder</t>
  </si>
  <si>
    <t>Diaphragm Pump</t>
  </si>
  <si>
    <t>Count</t>
  </si>
  <si>
    <t>3/8 inch pipe ream</t>
  </si>
  <si>
    <t xml:space="preserve">3/8 inch end 200psi pressure guage </t>
  </si>
  <si>
    <t>Total Cost (CAD)</t>
  </si>
  <si>
    <t>Condenser + Fan</t>
  </si>
  <si>
    <t>Ice Box</t>
  </si>
  <si>
    <t>Final Costs (CAD)</t>
  </si>
  <si>
    <t>Propane Torch</t>
  </si>
  <si>
    <t>Butane Canisters</t>
  </si>
  <si>
    <t>Time (Hours)</t>
  </si>
  <si>
    <t>Tasks</t>
  </si>
  <si>
    <t>Buy Stuff From Home Depot</t>
  </si>
  <si>
    <t>Buy Stuff From Amazon + eBay</t>
  </si>
  <si>
    <t>Setup</t>
  </si>
  <si>
    <t>Building</t>
  </si>
  <si>
    <t>Testing</t>
  </si>
  <si>
    <t>Final Time (Hours)</t>
  </si>
  <si>
    <t>Modifying Pneumatic Grinder</t>
  </si>
  <si>
    <t>Brazing</t>
  </si>
  <si>
    <t>Adapting Ends of Pipes</t>
  </si>
  <si>
    <t>Comparing Different Working Fluids</t>
  </si>
  <si>
    <t>Different Hot-Side Temps</t>
  </si>
  <si>
    <t>Different Cold-Side Temps</t>
  </si>
  <si>
    <t>20000-30000 Rpm motor (200W)</t>
  </si>
  <si>
    <t xml:space="preserve">Already spent </t>
  </si>
  <si>
    <t>Remaining</t>
  </si>
  <si>
    <t>1/2 male tee to female</t>
  </si>
  <si>
    <t xml:space="preserve">¼ inch female to ½ male connector </t>
  </si>
  <si>
    <t xml:space="preserve">Disposable butane canister to ¼ inch male </t>
  </si>
  <si>
    <t xml:space="preserve">Pressure Gauges (need to connect with ½ inch male to ¼ female) </t>
  </si>
  <si>
    <t>¾ female npt adapter to ½ male flare adapter</t>
  </si>
  <si>
    <t>½ male flare adapter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</si>
</sst>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2FB7-B95D-48D6-AA9B-5144205A5B6F}">
  <dimension ref="C1:R24"/>
  <sheetViews>
    <sheetView tabSelected="1" topLeftCell="B1" workbookViewId="0">
      <selection activeCell="H13" sqref="H13"/>
    </sheetView>
  </sheetViews>
  <sheetFormatPr defaultRowHeight="14.4" x14ac:dyDescent="0.55000000000000004"/>
  <sheetData>
    <row r="1" spans="3:18" ht="28.8" x14ac:dyDescent="0.55000000000000004">
      <c r="C1" t="s">
        <v>4</v>
      </c>
      <c r="D1" t="s">
        <v>0</v>
      </c>
      <c r="G1" s="1" t="s">
        <v>1</v>
      </c>
      <c r="H1" s="1" t="s">
        <v>7</v>
      </c>
      <c r="I1" t="s">
        <v>28</v>
      </c>
      <c r="J1" t="s">
        <v>29</v>
      </c>
      <c r="K1" t="s">
        <v>4</v>
      </c>
      <c r="L1" t="s">
        <v>14</v>
      </c>
      <c r="O1" s="1" t="s">
        <v>13</v>
      </c>
      <c r="P1" s="1"/>
    </row>
    <row r="2" spans="3:18" x14ac:dyDescent="0.55000000000000004">
      <c r="L2" s="3" t="s">
        <v>17</v>
      </c>
      <c r="M2" s="3"/>
      <c r="N2" s="3"/>
      <c r="O2" s="3"/>
      <c r="P2" s="3"/>
    </row>
    <row r="3" spans="3:18" x14ac:dyDescent="0.55000000000000004">
      <c r="C3">
        <v>2</v>
      </c>
      <c r="D3" t="s">
        <v>5</v>
      </c>
      <c r="G3">
        <v>20</v>
      </c>
      <c r="H3">
        <f>G3*C3</f>
        <v>40</v>
      </c>
      <c r="I3">
        <v>40</v>
      </c>
      <c r="L3" t="s">
        <v>15</v>
      </c>
      <c r="O3">
        <v>1</v>
      </c>
    </row>
    <row r="4" spans="3:18" x14ac:dyDescent="0.55000000000000004">
      <c r="C4">
        <v>3</v>
      </c>
      <c r="D4" t="s">
        <v>6</v>
      </c>
      <c r="G4">
        <v>15</v>
      </c>
      <c r="H4">
        <f t="shared" ref="H4:H12" si="0">G4*C4</f>
        <v>45</v>
      </c>
      <c r="L4" t="s">
        <v>16</v>
      </c>
      <c r="O4">
        <v>1</v>
      </c>
    </row>
    <row r="5" spans="3:18" x14ac:dyDescent="0.55000000000000004">
      <c r="H5">
        <f t="shared" si="0"/>
        <v>0</v>
      </c>
    </row>
    <row r="6" spans="3:18" x14ac:dyDescent="0.55000000000000004">
      <c r="C6">
        <v>4</v>
      </c>
      <c r="D6" t="s">
        <v>30</v>
      </c>
      <c r="G6">
        <v>7</v>
      </c>
      <c r="H6">
        <f t="shared" si="0"/>
        <v>28</v>
      </c>
      <c r="L6" s="3" t="s">
        <v>18</v>
      </c>
      <c r="M6" s="3"/>
      <c r="N6" s="3"/>
      <c r="O6" s="3"/>
      <c r="P6" s="3"/>
    </row>
    <row r="7" spans="3:18" x14ac:dyDescent="0.55000000000000004">
      <c r="C7">
        <v>1</v>
      </c>
      <c r="D7" t="s">
        <v>31</v>
      </c>
      <c r="G7">
        <v>5</v>
      </c>
      <c r="H7">
        <f t="shared" si="0"/>
        <v>5</v>
      </c>
      <c r="L7" t="s">
        <v>21</v>
      </c>
      <c r="O7">
        <v>2</v>
      </c>
    </row>
    <row r="8" spans="3:18" x14ac:dyDescent="0.55000000000000004">
      <c r="C8">
        <v>1</v>
      </c>
      <c r="D8" t="s">
        <v>32</v>
      </c>
      <c r="G8">
        <v>12</v>
      </c>
      <c r="H8">
        <f>G9*C8</f>
        <v>20</v>
      </c>
      <c r="L8" t="s">
        <v>22</v>
      </c>
      <c r="O8">
        <v>2</v>
      </c>
    </row>
    <row r="9" spans="3:18" x14ac:dyDescent="0.55000000000000004">
      <c r="C9">
        <v>3</v>
      </c>
      <c r="D9" t="s">
        <v>33</v>
      </c>
      <c r="G9">
        <v>20</v>
      </c>
      <c r="H9">
        <f>G9*C9</f>
        <v>60</v>
      </c>
      <c r="L9" t="s">
        <v>23</v>
      </c>
      <c r="O9">
        <v>2</v>
      </c>
    </row>
    <row r="10" spans="3:18" x14ac:dyDescent="0.55000000000000004">
      <c r="C10">
        <v>1</v>
      </c>
      <c r="D10" s="4" t="s">
        <v>34</v>
      </c>
      <c r="G10">
        <v>17</v>
      </c>
      <c r="H10">
        <f t="shared" si="0"/>
        <v>17</v>
      </c>
    </row>
    <row r="11" spans="3:18" x14ac:dyDescent="0.55000000000000004">
      <c r="C11">
        <v>1</v>
      </c>
      <c r="D11" s="5" t="s">
        <v>35</v>
      </c>
      <c r="G11">
        <v>7</v>
      </c>
      <c r="H11">
        <f t="shared" si="0"/>
        <v>7</v>
      </c>
      <c r="L11" s="3" t="s">
        <v>19</v>
      </c>
      <c r="M11" s="3"/>
      <c r="N11" s="3"/>
      <c r="O11" s="3"/>
      <c r="P11" s="3"/>
      <c r="Q11" s="2"/>
      <c r="R11" s="2"/>
    </row>
    <row r="12" spans="3:18" x14ac:dyDescent="0.55000000000000004">
      <c r="H12">
        <f t="shared" si="0"/>
        <v>0</v>
      </c>
      <c r="L12" t="s">
        <v>24</v>
      </c>
      <c r="O12">
        <v>3</v>
      </c>
    </row>
    <row r="13" spans="3:18" x14ac:dyDescent="0.55000000000000004">
      <c r="C13">
        <v>1</v>
      </c>
      <c r="D13" t="s">
        <v>2</v>
      </c>
      <c r="G13">
        <v>50</v>
      </c>
      <c r="H13">
        <f>G13*C13</f>
        <v>50</v>
      </c>
      <c r="L13" t="s">
        <v>25</v>
      </c>
      <c r="O13">
        <v>2</v>
      </c>
    </row>
    <row r="14" spans="3:18" x14ac:dyDescent="0.55000000000000004">
      <c r="C14">
        <v>1</v>
      </c>
      <c r="D14" t="s">
        <v>3</v>
      </c>
      <c r="G14">
        <v>70</v>
      </c>
      <c r="H14">
        <f>G14*C14</f>
        <v>70</v>
      </c>
      <c r="L14" t="s">
        <v>26</v>
      </c>
      <c r="O14">
        <v>2</v>
      </c>
    </row>
    <row r="15" spans="3:18" x14ac:dyDescent="0.55000000000000004">
      <c r="C15">
        <v>1</v>
      </c>
      <c r="D15" t="s">
        <v>8</v>
      </c>
      <c r="G15">
        <v>30</v>
      </c>
      <c r="H15">
        <f>G15*C15</f>
        <v>30</v>
      </c>
    </row>
    <row r="16" spans="3:18" x14ac:dyDescent="0.55000000000000004">
      <c r="C16">
        <v>1</v>
      </c>
      <c r="D16" t="s">
        <v>27</v>
      </c>
      <c r="G16">
        <v>50</v>
      </c>
      <c r="H16">
        <f>G16*C17</f>
        <v>50</v>
      </c>
    </row>
    <row r="17" spans="3:16" x14ac:dyDescent="0.55000000000000004">
      <c r="C17">
        <v>1</v>
      </c>
      <c r="D17" t="s">
        <v>9</v>
      </c>
      <c r="G17">
        <v>30</v>
      </c>
      <c r="H17">
        <f>G17*C18</f>
        <v>30</v>
      </c>
    </row>
    <row r="18" spans="3:16" x14ac:dyDescent="0.55000000000000004">
      <c r="C18">
        <v>1</v>
      </c>
      <c r="D18" t="s">
        <v>11</v>
      </c>
      <c r="G18">
        <v>5</v>
      </c>
      <c r="H18">
        <f>G18*C19</f>
        <v>50</v>
      </c>
      <c r="K18" t="s">
        <v>20</v>
      </c>
      <c r="O18">
        <f>SUM(O2:O14)</f>
        <v>15</v>
      </c>
      <c r="P18">
        <f>SUM(P3:P12)</f>
        <v>0</v>
      </c>
    </row>
    <row r="19" spans="3:16" x14ac:dyDescent="0.55000000000000004">
      <c r="C19">
        <v>10</v>
      </c>
      <c r="D19" t="s">
        <v>12</v>
      </c>
    </row>
    <row r="24" spans="3:16" x14ac:dyDescent="0.55000000000000004">
      <c r="C24" t="s">
        <v>10</v>
      </c>
      <c r="H24">
        <f>SUM(H3:H18)</f>
        <v>502</v>
      </c>
      <c r="I24">
        <f>SUM(I3:I19)</f>
        <v>40</v>
      </c>
      <c r="J24">
        <f>H24-I24</f>
        <v>462</v>
      </c>
    </row>
  </sheetData>
  <mergeCells count="3">
    <mergeCell ref="L2:P2"/>
    <mergeCell ref="L6:P6"/>
    <mergeCell ref="L11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2024-12-11T16:50:24Z</dcterms:created>
  <dcterms:modified xsi:type="dcterms:W3CDTF">2024-12-13T17:27:12Z</dcterms:modified>
</cp:coreProperties>
</file>