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6D7F1C38-03B0-4E82-AF56-D653B3F5A169}" xr6:coauthVersionLast="47" xr6:coauthVersionMax="47" xr10:uidLastSave="{00000000-0000-0000-0000-000000000000}"/>
  <bookViews>
    <workbookView xWindow="-96" yWindow="-96" windowWidth="23232" windowHeight="12552" xr2:uid="{A0C732A5-87F4-4D14-AA07-284B530A3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D4" i="1"/>
  <c r="I13" i="1"/>
  <c r="I14" i="1"/>
  <c r="I15" i="1"/>
  <c r="I16" i="1"/>
  <c r="I17" i="1"/>
  <c r="I18" i="1"/>
  <c r="I19" i="1"/>
  <c r="I12" i="1"/>
  <c r="I3" i="1"/>
  <c r="I7" i="1"/>
  <c r="I6" i="1"/>
  <c r="I5" i="1"/>
  <c r="D5" i="1"/>
  <c r="D6" i="1"/>
  <c r="D7" i="1"/>
  <c r="D3" i="1"/>
  <c r="H9" i="1"/>
  <c r="C9" i="1"/>
  <c r="I9" i="1" l="1"/>
  <c r="I21" i="1" s="1"/>
  <c r="J3" i="1" s="1"/>
  <c r="D9" i="1"/>
  <c r="D21" i="1" s="1"/>
  <c r="E3" i="1" s="1"/>
  <c r="J13" i="1" l="1"/>
  <c r="J7" i="1"/>
  <c r="J15" i="1"/>
  <c r="J6" i="1"/>
  <c r="J9" i="1"/>
  <c r="J4" i="1"/>
  <c r="J18" i="1"/>
  <c r="J17" i="1"/>
  <c r="J5" i="1"/>
  <c r="J12" i="1"/>
  <c r="J16" i="1"/>
  <c r="J19" i="1"/>
  <c r="E5" i="1"/>
  <c r="E6" i="1"/>
  <c r="E12" i="1"/>
  <c r="E14" i="1"/>
  <c r="E4" i="1"/>
  <c r="E15" i="1"/>
  <c r="E9" i="1"/>
  <c r="E18" i="1"/>
  <c r="E19" i="1"/>
  <c r="E17" i="1"/>
  <c r="E7" i="1"/>
  <c r="E16" i="1"/>
  <c r="E13" i="1"/>
  <c r="J14" i="1"/>
  <c r="I24" i="1"/>
</calcChain>
</file>

<file path=xl/sharedStrings.xml><?xml version="1.0" encoding="utf-8"?>
<sst xmlns="http://schemas.openxmlformats.org/spreadsheetml/2006/main" count="26" uniqueCount="22">
  <si>
    <t>Compoent</t>
  </si>
  <si>
    <t>Rotor</t>
  </si>
  <si>
    <t>Vane</t>
  </si>
  <si>
    <t>Aluminum</t>
  </si>
  <si>
    <t>Steel</t>
  </si>
  <si>
    <t>% Contributed</t>
  </si>
  <si>
    <t>Stator</t>
  </si>
  <si>
    <t>Top Plate</t>
  </si>
  <si>
    <t>Cost USD</t>
  </si>
  <si>
    <t>TOTAL</t>
  </si>
  <si>
    <t>Shipping</t>
  </si>
  <si>
    <t>Springs</t>
  </si>
  <si>
    <t>Screws</t>
  </si>
  <si>
    <t>Thrust Bearings</t>
  </si>
  <si>
    <t xml:space="preserve">Nuts </t>
  </si>
  <si>
    <t>Gasket</t>
  </si>
  <si>
    <t>3/16" ORB to 3/16" Compression</t>
  </si>
  <si>
    <t>Tubing</t>
  </si>
  <si>
    <t>3/16" Compression to 1/4" NPT</t>
  </si>
  <si>
    <t>Cost CAD</t>
  </si>
  <si>
    <t>Extra Cost of Steel</t>
  </si>
  <si>
    <t>Note, the rotor would be 37.88$ USD for aluminum and 65.03$ USD for stainless if putting the spring inserts in the rotor itself. For aluminum, the vanes would be 59.92$USD and 104.08$USD for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</si>
</sst>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1009]* #,##0.00_-;\-[$$-1009]* #,##0.00_-;_-[$$-10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C0DF-6C44-489D-8008-DD1A5357B469}">
  <dimension ref="B1:Q24"/>
  <sheetViews>
    <sheetView tabSelected="1" workbookViewId="0">
      <selection activeCell="M11" sqref="M11"/>
    </sheetView>
  </sheetViews>
  <sheetFormatPr defaultRowHeight="14.4" x14ac:dyDescent="0.55000000000000004"/>
  <cols>
    <col min="2" max="2" width="26.3671875" customWidth="1"/>
  </cols>
  <sheetData>
    <row r="1" spans="2:17" x14ac:dyDescent="0.55000000000000004">
      <c r="C1" s="6" t="s">
        <v>3</v>
      </c>
      <c r="D1" s="6"/>
      <c r="E1" s="6"/>
      <c r="H1" s="6" t="s">
        <v>4</v>
      </c>
      <c r="I1" s="6"/>
      <c r="J1" s="6"/>
    </row>
    <row r="2" spans="2:17" x14ac:dyDescent="0.55000000000000004">
      <c r="B2" s="1" t="s">
        <v>0</v>
      </c>
      <c r="C2" t="s">
        <v>8</v>
      </c>
      <c r="D2" t="s">
        <v>19</v>
      </c>
      <c r="E2" t="s">
        <v>5</v>
      </c>
      <c r="H2" t="s">
        <v>8</v>
      </c>
      <c r="I2" t="s">
        <v>19</v>
      </c>
      <c r="J2" t="s">
        <v>5</v>
      </c>
      <c r="M2" s="7" t="s">
        <v>21</v>
      </c>
      <c r="N2" s="7"/>
      <c r="O2" s="7"/>
      <c r="P2" s="7"/>
      <c r="Q2" s="7"/>
    </row>
    <row r="3" spans="2:17" x14ac:dyDescent="0.55000000000000004">
      <c r="B3" t="s">
        <v>1</v>
      </c>
      <c r="C3" s="2">
        <v>37.880000000000003</v>
      </c>
      <c r="D3" s="2">
        <f>C3*1.38</f>
        <v>52.2744</v>
      </c>
      <c r="E3" s="4">
        <f>D3/$D$21</f>
        <v>0.16991858766534546</v>
      </c>
      <c r="H3" s="2">
        <v>65.03</v>
      </c>
      <c r="I3" s="2">
        <f>H3*1.38</f>
        <v>89.741399999999999</v>
      </c>
      <c r="J3" s="4">
        <f>I3/$I$21</f>
        <v>0.2042397638193105</v>
      </c>
      <c r="M3" s="7"/>
      <c r="N3" s="7"/>
      <c r="O3" s="7"/>
      <c r="P3" s="7"/>
      <c r="Q3" s="7"/>
    </row>
    <row r="4" spans="2:17" x14ac:dyDescent="0.55000000000000004">
      <c r="B4" t="s">
        <v>2</v>
      </c>
      <c r="C4" s="2">
        <v>59.92</v>
      </c>
      <c r="D4" s="2">
        <f t="shared" ref="D4:D7" si="0">C4*1.38</f>
        <v>82.689599999999999</v>
      </c>
      <c r="E4" s="4">
        <f>D4/$D$21</f>
        <v>0.26878357373039857</v>
      </c>
      <c r="H4" s="2">
        <v>104.08</v>
      </c>
      <c r="I4" s="2">
        <f t="shared" ref="I4:I7" si="1">H4*1.38</f>
        <v>143.63039999999998</v>
      </c>
      <c r="J4" s="4">
        <f>I4/$I$21</f>
        <v>0.3268841245319673</v>
      </c>
      <c r="M4" s="7"/>
      <c r="N4" s="7"/>
      <c r="O4" s="7"/>
      <c r="P4" s="7"/>
      <c r="Q4" s="7"/>
    </row>
    <row r="5" spans="2:17" x14ac:dyDescent="0.55000000000000004">
      <c r="B5" t="s">
        <v>6</v>
      </c>
      <c r="C5" s="2">
        <v>21.85</v>
      </c>
      <c r="D5" s="2">
        <f t="shared" si="0"/>
        <v>30.152999999999999</v>
      </c>
      <c r="E5" s="4">
        <f>D5/$D$21</f>
        <v>9.8012701702423377E-2</v>
      </c>
      <c r="H5" s="2">
        <v>36.29</v>
      </c>
      <c r="I5" s="2">
        <f t="shared" si="1"/>
        <v>50.080199999999998</v>
      </c>
      <c r="J5" s="4">
        <f>I5/$I$21</f>
        <v>0.11397602689532182</v>
      </c>
      <c r="M5" s="7"/>
      <c r="N5" s="7"/>
      <c r="O5" s="7"/>
      <c r="P5" s="7"/>
      <c r="Q5" s="7"/>
    </row>
    <row r="6" spans="2:17" x14ac:dyDescent="0.55000000000000004">
      <c r="B6" t="s">
        <v>7</v>
      </c>
      <c r="C6" s="2">
        <v>13.67</v>
      </c>
      <c r="D6" s="2">
        <f t="shared" si="0"/>
        <v>18.864599999999999</v>
      </c>
      <c r="E6" s="4">
        <f>D6/$D$21</f>
        <v>6.1319617037625979E-2</v>
      </c>
      <c r="H6" s="2">
        <v>23.39</v>
      </c>
      <c r="I6" s="2">
        <f t="shared" si="1"/>
        <v>32.278199999999998</v>
      </c>
      <c r="J6" s="4">
        <f>I6/$I$21</f>
        <v>7.3460988401255922E-2</v>
      </c>
      <c r="M6" s="7"/>
      <c r="N6" s="7"/>
      <c r="O6" s="7"/>
      <c r="P6" s="7"/>
      <c r="Q6" s="7"/>
    </row>
    <row r="7" spans="2:17" x14ac:dyDescent="0.55000000000000004">
      <c r="B7" t="s">
        <v>10</v>
      </c>
      <c r="C7" s="2">
        <v>32.69</v>
      </c>
      <c r="D7" s="2">
        <f t="shared" si="0"/>
        <v>45.112199999999994</v>
      </c>
      <c r="E7" s="4">
        <f>D7/$D$21</f>
        <v>0.14663776744403753</v>
      </c>
      <c r="H7" s="2">
        <v>32.69</v>
      </c>
      <c r="I7" s="2">
        <f t="shared" si="1"/>
        <v>45.112199999999994</v>
      </c>
      <c r="J7" s="4">
        <f>I7/$I$21</f>
        <v>0.10266950452488481</v>
      </c>
    </row>
    <row r="8" spans="2:17" x14ac:dyDescent="0.55000000000000004">
      <c r="E8" s="4"/>
      <c r="H8" s="2"/>
      <c r="J8" s="4"/>
    </row>
    <row r="9" spans="2:17" x14ac:dyDescent="0.55000000000000004">
      <c r="B9" t="s">
        <v>9</v>
      </c>
      <c r="C9" s="2">
        <f>SUM(C3:C7)</f>
        <v>166.01</v>
      </c>
      <c r="D9" s="2">
        <f>SUM(D3:D7)</f>
        <v>229.09379999999999</v>
      </c>
      <c r="E9" s="4">
        <f>D9/$D$21</f>
        <v>0.74467224757983097</v>
      </c>
      <c r="H9" s="2">
        <f>SUM(H3:H7)</f>
        <v>261.48</v>
      </c>
      <c r="I9" s="2">
        <f>SUM(I3:I7)</f>
        <v>360.84239999999994</v>
      </c>
      <c r="J9" s="4">
        <f>I9/$I$21</f>
        <v>0.82123040817274029</v>
      </c>
    </row>
    <row r="10" spans="2:17" x14ac:dyDescent="0.55000000000000004">
      <c r="E10" s="4"/>
      <c r="H10" s="2"/>
      <c r="J10" s="4"/>
    </row>
    <row r="11" spans="2:17" x14ac:dyDescent="0.55000000000000004">
      <c r="E11" s="4"/>
      <c r="J11" s="4"/>
    </row>
    <row r="12" spans="2:17" x14ac:dyDescent="0.55000000000000004">
      <c r="B12" t="s">
        <v>11</v>
      </c>
      <c r="D12" s="3">
        <v>18.079999999999998</v>
      </c>
      <c r="E12" s="4">
        <f t="shared" ref="E12:E19" si="2">D12/$D$21</f>
        <v>5.8769264974623245E-2</v>
      </c>
      <c r="I12" s="3">
        <f>D12</f>
        <v>18.079999999999998</v>
      </c>
      <c r="J12" s="4">
        <f t="shared" ref="J12:J19" si="3">I12/$I$21</f>
        <v>4.1147730365841559E-2</v>
      </c>
    </row>
    <row r="13" spans="2:17" x14ac:dyDescent="0.55000000000000004">
      <c r="B13" t="s">
        <v>12</v>
      </c>
      <c r="D13" s="3">
        <v>6.55</v>
      </c>
      <c r="E13" s="4">
        <f t="shared" si="2"/>
        <v>2.1290856503527782E-2</v>
      </c>
      <c r="I13" s="3">
        <f t="shared" ref="I13:I19" si="4">D13</f>
        <v>6.55</v>
      </c>
      <c r="J13" s="4">
        <f t="shared" si="3"/>
        <v>1.4906948777448132E-2</v>
      </c>
    </row>
    <row r="14" spans="2:17" x14ac:dyDescent="0.55000000000000004">
      <c r="B14" t="s">
        <v>14</v>
      </c>
      <c r="D14" s="3">
        <v>8.69</v>
      </c>
      <c r="E14" s="4">
        <f t="shared" si="2"/>
        <v>2.8246953132161284E-2</v>
      </c>
      <c r="I14" s="3">
        <f t="shared" si="4"/>
        <v>8.69</v>
      </c>
      <c r="J14" s="4">
        <f t="shared" si="3"/>
        <v>1.9777310668095308E-2</v>
      </c>
    </row>
    <row r="15" spans="2:17" x14ac:dyDescent="0.55000000000000004">
      <c r="B15" t="s">
        <v>13</v>
      </c>
      <c r="D15" s="3">
        <v>3.5</v>
      </c>
      <c r="E15" s="4">
        <f t="shared" si="2"/>
        <v>1.1376793551503395E-2</v>
      </c>
      <c r="I15" s="3">
        <f t="shared" si="4"/>
        <v>3.5</v>
      </c>
      <c r="J15" s="4">
        <f t="shared" si="3"/>
        <v>7.9655451482547272E-3</v>
      </c>
    </row>
    <row r="16" spans="2:17" x14ac:dyDescent="0.55000000000000004">
      <c r="B16" t="s">
        <v>15</v>
      </c>
      <c r="D16" s="3">
        <v>1.72</v>
      </c>
      <c r="E16" s="4">
        <f t="shared" si="2"/>
        <v>5.5908814024530967E-3</v>
      </c>
      <c r="I16" s="3">
        <f t="shared" si="4"/>
        <v>1.72</v>
      </c>
      <c r="J16" s="4">
        <f t="shared" si="3"/>
        <v>3.9144964728566089E-3</v>
      </c>
    </row>
    <row r="17" spans="2:10" x14ac:dyDescent="0.55000000000000004">
      <c r="B17" t="s">
        <v>16</v>
      </c>
      <c r="D17" s="3">
        <v>17.760000000000002</v>
      </c>
      <c r="E17" s="4">
        <f t="shared" si="2"/>
        <v>5.7729100992771516E-2</v>
      </c>
      <c r="I17" s="3">
        <f t="shared" si="4"/>
        <v>17.760000000000002</v>
      </c>
      <c r="J17" s="4">
        <f t="shared" si="3"/>
        <v>4.0419451952286849E-2</v>
      </c>
    </row>
    <row r="18" spans="2:10" x14ac:dyDescent="0.55000000000000004">
      <c r="B18" t="s">
        <v>18</v>
      </c>
      <c r="D18" s="3">
        <v>5.07</v>
      </c>
      <c r="E18" s="4">
        <f t="shared" si="2"/>
        <v>1.648009808746349E-2</v>
      </c>
      <c r="I18" s="3">
        <f t="shared" si="4"/>
        <v>5.07</v>
      </c>
      <c r="J18" s="4">
        <f t="shared" si="3"/>
        <v>1.1538661114757563E-2</v>
      </c>
    </row>
    <row r="19" spans="2:10" x14ac:dyDescent="0.55000000000000004">
      <c r="B19" t="s">
        <v>17</v>
      </c>
      <c r="D19" s="3">
        <v>17.18</v>
      </c>
      <c r="E19" s="4">
        <f t="shared" si="2"/>
        <v>5.5843803775665231E-2</v>
      </c>
      <c r="I19" s="3">
        <f t="shared" si="4"/>
        <v>17.18</v>
      </c>
      <c r="J19" s="4">
        <f t="shared" si="3"/>
        <v>3.9099447327718917E-2</v>
      </c>
    </row>
    <row r="21" spans="2:10" x14ac:dyDescent="0.55000000000000004">
      <c r="B21" s="1" t="s">
        <v>9</v>
      </c>
      <c r="D21" s="5">
        <f>SUM(D9,D12:D19)</f>
        <v>307.6438</v>
      </c>
      <c r="I21" s="5">
        <f>SUM(I9,D12:D19)</f>
        <v>439.39239999999995</v>
      </c>
    </row>
    <row r="24" spans="2:10" x14ac:dyDescent="0.55000000000000004">
      <c r="B24" t="s">
        <v>20</v>
      </c>
      <c r="I24" s="3">
        <f>I21-D21</f>
        <v>131.74859999999995</v>
      </c>
    </row>
  </sheetData>
  <mergeCells count="3">
    <mergeCell ref="C1:E1"/>
    <mergeCell ref="H1:J1"/>
    <mergeCell ref="M2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2025-08-13T06:08:06Z</dcterms:created>
  <dcterms:modified xsi:type="dcterms:W3CDTF">2025-08-13T07:05:47Z</dcterms:modified>
</cp:coreProperties>
</file>