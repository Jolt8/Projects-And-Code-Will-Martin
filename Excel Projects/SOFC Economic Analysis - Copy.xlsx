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ocuments\"/>
    </mc:Choice>
  </mc:AlternateContent>
  <xr:revisionPtr revIDLastSave="0" documentId="13_ncr:1_{74F88610-88E4-4680-ABDD-D47CAC129ECE}" xr6:coauthVersionLast="47" xr6:coauthVersionMax="47" xr10:uidLastSave="{00000000-0000-0000-0000-000000000000}"/>
  <bookViews>
    <workbookView xWindow="-96" yWindow="-96" windowWidth="23232" windowHeight="12552" xr2:uid="{C939D622-43CC-48BB-82B3-C663A858D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R18" i="1"/>
  <c r="N21" i="1"/>
  <c r="R21" i="1"/>
  <c r="T21" i="1"/>
  <c r="N24" i="1"/>
  <c r="T24" i="1" s="1"/>
  <c r="R24" i="1"/>
  <c r="N29" i="1"/>
  <c r="R29" i="1"/>
  <c r="N32" i="1"/>
  <c r="R32" i="1"/>
  <c r="T32" i="1" s="1"/>
  <c r="N35" i="1"/>
  <c r="R35" i="1"/>
  <c r="T35" i="1" s="1"/>
  <c r="N40" i="1"/>
  <c r="R40" i="1"/>
  <c r="T40" i="1" s="1"/>
  <c r="N43" i="1"/>
  <c r="R43" i="1"/>
  <c r="T43" i="1" s="1"/>
  <c r="N46" i="1"/>
  <c r="R46" i="1"/>
  <c r="T46" i="1" s="1"/>
  <c r="N10" i="1"/>
  <c r="R7" i="1"/>
  <c r="R10" i="1"/>
  <c r="R13" i="1"/>
  <c r="N13" i="1"/>
  <c r="N7" i="1"/>
  <c r="J4" i="1"/>
  <c r="M4" i="1" s="1"/>
  <c r="T29" i="1" l="1"/>
  <c r="T18" i="1"/>
  <c r="T10" i="1"/>
  <c r="T7" i="1"/>
  <c r="T13" i="1"/>
</calcChain>
</file>

<file path=xl/sharedStrings.xml><?xml version="1.0" encoding="utf-8"?>
<sst xmlns="http://schemas.openxmlformats.org/spreadsheetml/2006/main" count="53" uniqueCount="18">
  <si>
    <t>Operational Period (years)</t>
  </si>
  <si>
    <t>Operation Period (seconds)</t>
  </si>
  <si>
    <t xml:space="preserve">Total System Efficiency </t>
  </si>
  <si>
    <t>Total System Efficiency</t>
  </si>
  <si>
    <t>$ per kw of capacity</t>
  </si>
  <si>
    <t>System Capacity (kw)</t>
  </si>
  <si>
    <t>System Capacity (Gw)</t>
  </si>
  <si>
    <t>Total Life GJ</t>
  </si>
  <si>
    <t>Diesel Cost per GJ</t>
  </si>
  <si>
    <t>Methanol Cost per GJ</t>
  </si>
  <si>
    <t>Fuel Costs</t>
  </si>
  <si>
    <t>Total System Costs</t>
  </si>
  <si>
    <t>Maintenance Costs Over 10 Years</t>
  </si>
  <si>
    <t>Final Costs</t>
  </si>
  <si>
    <t>Green Transition</t>
  </si>
  <si>
    <t>High Carbon Tax</t>
  </si>
  <si>
    <t>Costs Today</t>
  </si>
  <si>
    <t>Business as Usual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</si>
</sst>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2" applyFont="1"/>
    <xf numFmtId="0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2" borderId="0" xfId="1" applyFont="1" applyFill="1"/>
    <xf numFmtId="0" fontId="0" fillId="2" borderId="0" xfId="0" applyFill="1"/>
    <xf numFmtId="11" fontId="0" fillId="2" borderId="0" xfId="0" applyNumberFormat="1" applyFill="1"/>
    <xf numFmtId="9" fontId="0" fillId="2" borderId="0" xfId="2" applyFont="1" applyFill="1"/>
    <xf numFmtId="44" fontId="0" fillId="0" borderId="0" xfId="1" applyFont="1" applyFill="1"/>
    <xf numFmtId="9" fontId="0" fillId="0" borderId="0" xfId="2" applyFont="1" applyFill="1"/>
    <xf numFmtId="0" fontId="2" fillId="0" borderId="0" xfId="0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C0BE-303A-484F-BEFF-3FC6CA61E8D7}">
  <dimension ref="B3:T46"/>
  <sheetViews>
    <sheetView tabSelected="1" topLeftCell="B22" workbookViewId="0">
      <selection activeCell="F30" sqref="F30"/>
    </sheetView>
  </sheetViews>
  <sheetFormatPr defaultRowHeight="14.4" x14ac:dyDescent="0.55000000000000004"/>
  <cols>
    <col min="2" max="2" width="23.7890625" customWidth="1"/>
    <col min="4" max="4" width="23.5234375" customWidth="1"/>
    <col min="6" max="6" width="18.26171875" customWidth="1"/>
    <col min="8" max="8" width="19.1015625" customWidth="1"/>
    <col min="9" max="9" width="10.05078125" customWidth="1"/>
    <col min="10" max="10" width="17.3125" customWidth="1"/>
    <col min="11" max="11" width="10.89453125" bestFit="1" customWidth="1"/>
    <col min="14" max="14" width="14.47265625" bestFit="1" customWidth="1"/>
    <col min="16" max="16" width="27" customWidth="1"/>
    <col min="18" max="18" width="13.47265625" bestFit="1" customWidth="1"/>
    <col min="20" max="20" width="14.47265625" bestFit="1" customWidth="1"/>
  </cols>
  <sheetData>
    <row r="3" spans="2:20" x14ac:dyDescent="0.55000000000000004">
      <c r="B3" t="s">
        <v>0</v>
      </c>
      <c r="D3" t="s">
        <v>1</v>
      </c>
      <c r="H3" t="s">
        <v>5</v>
      </c>
      <c r="J3" t="s">
        <v>6</v>
      </c>
      <c r="M3" t="s">
        <v>7</v>
      </c>
    </row>
    <row r="4" spans="2:20" x14ac:dyDescent="0.55000000000000004">
      <c r="B4" s="6">
        <v>10</v>
      </c>
      <c r="D4" s="7">
        <v>315600000</v>
      </c>
      <c r="H4" s="6">
        <v>500</v>
      </c>
      <c r="J4">
        <f>H4/1000/1000</f>
        <v>5.0000000000000001E-4</v>
      </c>
      <c r="M4" s="2">
        <f>J4*D4</f>
        <v>157800</v>
      </c>
    </row>
    <row r="6" spans="2:20" x14ac:dyDescent="0.55000000000000004">
      <c r="F6" t="s">
        <v>8</v>
      </c>
      <c r="H6" t="s">
        <v>2</v>
      </c>
      <c r="K6" t="s">
        <v>4</v>
      </c>
      <c r="N6" t="s">
        <v>10</v>
      </c>
      <c r="P6" t="s">
        <v>12</v>
      </c>
      <c r="R6" t="s">
        <v>11</v>
      </c>
      <c r="T6" t="s">
        <v>13</v>
      </c>
    </row>
    <row r="7" spans="2:20" x14ac:dyDescent="0.55000000000000004">
      <c r="F7" s="5">
        <v>25.4</v>
      </c>
      <c r="H7" s="8">
        <v>0.4</v>
      </c>
      <c r="K7" s="5">
        <v>700</v>
      </c>
      <c r="N7" s="3">
        <f>$M$4*(F7/H7)</f>
        <v>10020299.999999998</v>
      </c>
      <c r="P7" s="5">
        <v>268000</v>
      </c>
      <c r="R7" s="4">
        <f>K7*$H$4</f>
        <v>350000</v>
      </c>
      <c r="T7" s="4">
        <f>R7+P7+N7</f>
        <v>10638299.999999998</v>
      </c>
    </row>
    <row r="9" spans="2:20" x14ac:dyDescent="0.55000000000000004">
      <c r="D9" s="11" t="s">
        <v>16</v>
      </c>
      <c r="F9" t="s">
        <v>9</v>
      </c>
      <c r="H9" t="s">
        <v>3</v>
      </c>
    </row>
    <row r="10" spans="2:20" x14ac:dyDescent="0.55000000000000004">
      <c r="D10" s="11"/>
      <c r="F10" s="3">
        <v>30.8</v>
      </c>
      <c r="H10" s="1">
        <v>0.5</v>
      </c>
      <c r="K10" s="3">
        <v>7000</v>
      </c>
      <c r="N10" s="3">
        <f>$M$4*(F10/H10)</f>
        <v>9720480</v>
      </c>
      <c r="P10" s="3">
        <v>635000</v>
      </c>
      <c r="R10" s="4">
        <f>K10*$H$4</f>
        <v>3500000</v>
      </c>
      <c r="T10" s="4">
        <f>R10+P10+N10</f>
        <v>13855480</v>
      </c>
    </row>
    <row r="12" spans="2:20" x14ac:dyDescent="0.55000000000000004">
      <c r="F12" t="s">
        <v>9</v>
      </c>
      <c r="H12" t="s">
        <v>3</v>
      </c>
    </row>
    <row r="13" spans="2:20" x14ac:dyDescent="0.55000000000000004">
      <c r="F13" s="3">
        <v>21.7</v>
      </c>
      <c r="H13" s="1">
        <v>0.45</v>
      </c>
      <c r="K13" s="3">
        <v>10000</v>
      </c>
      <c r="N13" s="3">
        <f>$M$4*(F13/H13)</f>
        <v>7609466.666666667</v>
      </c>
      <c r="P13" s="3">
        <v>800000</v>
      </c>
      <c r="R13" s="4">
        <f>K13*$H$4</f>
        <v>5000000</v>
      </c>
      <c r="T13" s="4">
        <f>R13+P13+N13</f>
        <v>13409466.666666668</v>
      </c>
    </row>
    <row r="17" spans="4:20" x14ac:dyDescent="0.55000000000000004">
      <c r="F17" t="s">
        <v>8</v>
      </c>
      <c r="H17" t="s">
        <v>2</v>
      </c>
      <c r="K17" t="s">
        <v>4</v>
      </c>
      <c r="N17" t="s">
        <v>10</v>
      </c>
      <c r="P17" t="s">
        <v>12</v>
      </c>
      <c r="R17" t="s">
        <v>11</v>
      </c>
      <c r="T17" t="s">
        <v>13</v>
      </c>
    </row>
    <row r="18" spans="4:20" x14ac:dyDescent="0.55000000000000004">
      <c r="F18" s="9">
        <v>20</v>
      </c>
      <c r="H18" s="10">
        <v>0.4</v>
      </c>
      <c r="K18" s="9">
        <v>700</v>
      </c>
      <c r="N18" s="3">
        <f>$M$4*(F18/H18)</f>
        <v>7890000</v>
      </c>
      <c r="P18" s="9">
        <v>268000</v>
      </c>
      <c r="R18" s="4">
        <f>K18*$H$4</f>
        <v>350000</v>
      </c>
      <c r="T18" s="4">
        <f>R18+P18+N18</f>
        <v>8508000</v>
      </c>
    </row>
    <row r="20" spans="4:20" x14ac:dyDescent="0.55000000000000004">
      <c r="D20" s="11" t="s">
        <v>14</v>
      </c>
      <c r="F20" t="s">
        <v>9</v>
      </c>
      <c r="H20" t="s">
        <v>3</v>
      </c>
    </row>
    <row r="21" spans="4:20" x14ac:dyDescent="0.55000000000000004">
      <c r="D21" s="11"/>
      <c r="F21" s="3">
        <v>18</v>
      </c>
      <c r="H21" s="1">
        <v>0.5</v>
      </c>
      <c r="K21" s="3">
        <v>7000</v>
      </c>
      <c r="N21" s="3">
        <f>$M$4*(F21/H21)</f>
        <v>5680800</v>
      </c>
      <c r="P21" s="3">
        <v>635000</v>
      </c>
      <c r="R21" s="4">
        <f>K21*$H$4</f>
        <v>3500000</v>
      </c>
      <c r="T21" s="4">
        <f>R21+P21+N21</f>
        <v>9815800</v>
      </c>
    </row>
    <row r="23" spans="4:20" x14ac:dyDescent="0.55000000000000004">
      <c r="F23" t="s">
        <v>9</v>
      </c>
      <c r="H23" t="s">
        <v>3</v>
      </c>
    </row>
    <row r="24" spans="4:20" x14ac:dyDescent="0.55000000000000004">
      <c r="F24" s="3">
        <v>19</v>
      </c>
      <c r="H24" s="1">
        <v>0.45</v>
      </c>
      <c r="K24" s="3">
        <v>10000</v>
      </c>
      <c r="N24" s="3">
        <f>$M$4*(F24/H24)</f>
        <v>6662666.666666667</v>
      </c>
      <c r="P24" s="3">
        <v>800000</v>
      </c>
      <c r="R24" s="4">
        <f>K24*$H$4</f>
        <v>5000000</v>
      </c>
      <c r="T24" s="4">
        <f>R24+P24+N24</f>
        <v>12462666.666666668</v>
      </c>
    </row>
    <row r="28" spans="4:20" x14ac:dyDescent="0.55000000000000004">
      <c r="F28" t="s">
        <v>8</v>
      </c>
      <c r="H28" t="s">
        <v>2</v>
      </c>
      <c r="K28" t="s">
        <v>4</v>
      </c>
      <c r="N28" t="s">
        <v>10</v>
      </c>
      <c r="P28" t="s">
        <v>12</v>
      </c>
      <c r="R28" t="s">
        <v>11</v>
      </c>
      <c r="T28" t="s">
        <v>13</v>
      </c>
    </row>
    <row r="29" spans="4:20" x14ac:dyDescent="0.55000000000000004">
      <c r="F29" s="9">
        <v>28</v>
      </c>
      <c r="H29" s="10">
        <v>0.4</v>
      </c>
      <c r="K29" s="9">
        <v>700</v>
      </c>
      <c r="N29" s="3">
        <f>$M$4*(F29/H29)</f>
        <v>11046000</v>
      </c>
      <c r="P29" s="9">
        <v>268000</v>
      </c>
      <c r="R29" s="4">
        <f>K29*$H$4</f>
        <v>350000</v>
      </c>
      <c r="T29" s="4">
        <f>R29+P29+N29</f>
        <v>11664000</v>
      </c>
    </row>
    <row r="31" spans="4:20" x14ac:dyDescent="0.55000000000000004">
      <c r="D31" s="11" t="s">
        <v>17</v>
      </c>
      <c r="F31" t="s">
        <v>9</v>
      </c>
      <c r="H31" t="s">
        <v>3</v>
      </c>
    </row>
    <row r="32" spans="4:20" x14ac:dyDescent="0.55000000000000004">
      <c r="D32" s="11"/>
      <c r="F32" s="3">
        <v>40</v>
      </c>
      <c r="H32" s="1">
        <v>0.5</v>
      </c>
      <c r="K32" s="3">
        <v>7000</v>
      </c>
      <c r="N32" s="3">
        <f>$M$4*(F32/H32)</f>
        <v>12624000</v>
      </c>
      <c r="P32" s="3">
        <v>635000</v>
      </c>
      <c r="R32" s="4">
        <f>K32*$H$4</f>
        <v>3500000</v>
      </c>
      <c r="T32" s="4">
        <f>R32+P32+N32</f>
        <v>16759000</v>
      </c>
    </row>
    <row r="34" spans="4:20" x14ac:dyDescent="0.55000000000000004">
      <c r="F34" t="s">
        <v>9</v>
      </c>
      <c r="H34" t="s">
        <v>3</v>
      </c>
    </row>
    <row r="35" spans="4:20" x14ac:dyDescent="0.55000000000000004">
      <c r="F35" s="3">
        <v>29</v>
      </c>
      <c r="H35" s="1">
        <v>0.45</v>
      </c>
      <c r="K35" s="3">
        <v>10000</v>
      </c>
      <c r="N35" s="3">
        <f>$M$4*(F35/H35)</f>
        <v>10169333.333333334</v>
      </c>
      <c r="P35" s="3">
        <v>800000</v>
      </c>
      <c r="R35" s="4">
        <f>K35*$H$4</f>
        <v>5000000</v>
      </c>
      <c r="T35" s="4">
        <f>R35+P35+N35</f>
        <v>15969333.333333334</v>
      </c>
    </row>
    <row r="39" spans="4:20" x14ac:dyDescent="0.55000000000000004">
      <c r="F39" t="s">
        <v>8</v>
      </c>
      <c r="H39" t="s">
        <v>2</v>
      </c>
      <c r="K39" t="s">
        <v>4</v>
      </c>
      <c r="N39" t="s">
        <v>10</v>
      </c>
      <c r="P39" t="s">
        <v>12</v>
      </c>
      <c r="R39" t="s">
        <v>11</v>
      </c>
      <c r="T39" t="s">
        <v>13</v>
      </c>
    </row>
    <row r="40" spans="4:20" x14ac:dyDescent="0.55000000000000004">
      <c r="F40" s="9">
        <v>43</v>
      </c>
      <c r="H40" s="10">
        <v>0.4</v>
      </c>
      <c r="K40" s="9">
        <v>700</v>
      </c>
      <c r="N40" s="3">
        <f>$M$4*(F40/H40)</f>
        <v>16963500</v>
      </c>
      <c r="P40" s="9">
        <v>268000</v>
      </c>
      <c r="R40" s="4">
        <f>K40*$H$4</f>
        <v>350000</v>
      </c>
      <c r="T40" s="4">
        <f>R40+P40+N40</f>
        <v>17581500</v>
      </c>
    </row>
    <row r="42" spans="4:20" x14ac:dyDescent="0.55000000000000004">
      <c r="D42" s="11" t="s">
        <v>15</v>
      </c>
      <c r="F42" t="s">
        <v>9</v>
      </c>
      <c r="H42" t="s">
        <v>3</v>
      </c>
    </row>
    <row r="43" spans="4:20" x14ac:dyDescent="0.55000000000000004">
      <c r="D43" s="11"/>
      <c r="F43" s="3">
        <v>40</v>
      </c>
      <c r="H43" s="1">
        <v>0.5</v>
      </c>
      <c r="K43" s="3">
        <v>7000</v>
      </c>
      <c r="N43" s="3">
        <f>$M$4*(F43/H43)</f>
        <v>12624000</v>
      </c>
      <c r="P43" s="3">
        <v>635000</v>
      </c>
      <c r="R43" s="4">
        <f>K43*$H$4</f>
        <v>3500000</v>
      </c>
      <c r="T43" s="4">
        <f>R43+P43+N43</f>
        <v>16759000</v>
      </c>
    </row>
    <row r="45" spans="4:20" x14ac:dyDescent="0.55000000000000004">
      <c r="F45" t="s">
        <v>9</v>
      </c>
      <c r="H45" t="s">
        <v>3</v>
      </c>
    </row>
    <row r="46" spans="4:20" x14ac:dyDescent="0.55000000000000004">
      <c r="F46" s="3">
        <v>29</v>
      </c>
      <c r="H46" s="1">
        <v>0.45</v>
      </c>
      <c r="K46" s="3">
        <v>10000</v>
      </c>
      <c r="N46" s="3">
        <f>$M$4*(F46/H46)</f>
        <v>10169333.333333334</v>
      </c>
      <c r="P46" s="3">
        <v>800000</v>
      </c>
      <c r="R46" s="4">
        <f>K46*$H$4</f>
        <v>5000000</v>
      </c>
      <c r="T46" s="4">
        <f>R46+P46+N46</f>
        <v>15969333.333333334</v>
      </c>
    </row>
  </sheetData>
  <mergeCells count="4">
    <mergeCell ref="D9:D10"/>
    <mergeCell ref="D20:D21"/>
    <mergeCell ref="D31:D32"/>
    <mergeCell ref="D42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2025-09-28T04:39:48Z</dcterms:created>
  <dcterms:modified xsi:type="dcterms:W3CDTF">2025-09-28T05:43:40Z</dcterms:modified>
</cp:coreProperties>
</file>