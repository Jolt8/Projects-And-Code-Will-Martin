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17dc15bcba0753/Documents/"/>
    </mc:Choice>
  </mc:AlternateContent>
  <xr:revisionPtr revIDLastSave="1" documentId="8_{827718DB-D87A-439B-B32B-6032A25398B8}" xr6:coauthVersionLast="47" xr6:coauthVersionMax="47" xr10:uidLastSave="{B960E4B9-5159-4854-AE76-0BDC68F8E416}"/>
  <bookViews>
    <workbookView xWindow="-96" yWindow="-96" windowWidth="23232" windowHeight="12552" xr2:uid="{F68ABF8D-FE76-476C-A8B1-2C5E1EF6BAF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  <c r="C3" i="1" a="1"/>
  <c r="C3" i="1" s="1"/>
  <c r="I4" i="1" a="1"/>
  <c r="I8" i="1" a="1"/>
  <c r="I9" i="1" a="1"/>
  <c r="I21" i="1" a="1"/>
  <c r="I5" i="1" a="1"/>
  <c r="I13" i="1" a="1"/>
  <c r="I17" i="1" a="1"/>
  <c r="I10" i="1" a="1"/>
  <c r="I18" i="1" a="1"/>
  <c r="I16" i="1" a="1"/>
  <c r="I6" i="1" a="1"/>
  <c r="I14" i="1" a="1"/>
  <c r="I22" i="1" a="1"/>
  <c r="I19" i="1" a="1"/>
  <c r="I7" i="1" a="1"/>
  <c r="I11" i="1" a="1"/>
  <c r="I15" i="1" a="1"/>
  <c r="I12" i="1" a="1"/>
  <c r="I20" i="1" a="1"/>
  <c r="D13" i="1" a="1"/>
  <c r="D14" i="1" a="1"/>
  <c r="D18" i="1" a="1"/>
  <c r="D22" i="1" a="1"/>
  <c r="D21" i="1" a="1"/>
  <c r="D15" i="1" a="1"/>
  <c r="D19" i="1" a="1"/>
  <c r="D16" i="1" a="1"/>
  <c r="D20" i="1" a="1"/>
  <c r="D17" i="1" a="1"/>
  <c r="D3" i="1" a="1"/>
  <c r="D5" i="1" a="1"/>
  <c r="D9" i="1" a="1"/>
  <c r="D10" i="1" a="1"/>
  <c r="D12" i="1" a="1"/>
  <c r="D6" i="1" a="1"/>
  <c r="D4" i="1" a="1"/>
  <c r="D11" i="1" a="1"/>
  <c r="D8" i="1" a="1"/>
  <c r="D7" i="1" a="1"/>
  <c r="I20" i="1" l="1"/>
  <c r="I12" i="1"/>
  <c r="I15" i="1"/>
  <c r="I11" i="1"/>
  <c r="I7" i="1"/>
  <c r="I19" i="1"/>
  <c r="I22" i="1"/>
  <c r="I14" i="1"/>
  <c r="I6" i="1"/>
  <c r="I16" i="1"/>
  <c r="I18" i="1"/>
  <c r="I10" i="1"/>
  <c r="I17" i="1"/>
  <c r="I13" i="1"/>
  <c r="I5" i="1"/>
  <c r="I21" i="1"/>
  <c r="I9" i="1"/>
  <c r="I8" i="1"/>
  <c r="I4" i="1"/>
  <c r="D17" i="1"/>
  <c r="D20" i="1"/>
  <c r="D16" i="1"/>
  <c r="D19" i="1"/>
  <c r="D15" i="1"/>
  <c r="D21" i="1"/>
  <c r="D22" i="1"/>
  <c r="D18" i="1"/>
  <c r="D14" i="1"/>
  <c r="D13" i="1"/>
  <c r="D3" i="1"/>
  <c r="D7" i="1"/>
  <c r="D8" i="1"/>
  <c r="D11" i="1"/>
  <c r="D4" i="1"/>
  <c r="D6" i="1"/>
  <c r="D12" i="1"/>
  <c r="D10" i="1"/>
  <c r="D9" i="1"/>
  <c r="D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<sst xmlns="http://schemas.openxmlformats.org/spreadsheetml/2006/main" count="2" uniqueCount="2">
  <si>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Pressure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</si>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</sst>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lle\AppData\Roaming\Microsoft\AddIns\CoolProp.xlam" TargetMode="External"/><Relationship Id="rId1" Type="http://schemas.openxmlformats.org/officeDocument/2006/relationships/externalLinkPath" Target="file:///C:\Users\wille\AppData\Roaming\Microsoft\AddIns\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37441-E534-4A63-8594-8F2801E26BCF}">
  <dimension ref="A2:I22"/>
  <sheetViews>
    <sheetView tabSelected="1" workbookViewId="0">
      <selection activeCell="I4" sqref="I4"/>
    </sheetView>
  </sheetViews>
  <sheetFormatPr defaultRowHeight="14.4" x14ac:dyDescent="0.55000000000000004"/>
  <sheetData>
    <row r="2" spans="1:9" x14ac:dyDescent="0.55000000000000004">
      <c r="A2" t="s">
        <v>0</v>
      </c>
    </row>
    <row r="3" spans="1:9" x14ac:dyDescent="0.55000000000000004">
      <c r="C3" cm="1">
        <f t="array" ref="C3:C22">_xlfn.SEQUENCE(20,1,100000,100000)</f>
        <v>100000</v>
      </c>
      <c r="D3" cm="1">
        <f t="array" ref="D3">[1]!Propssi("T","P",C3,"Q",0,"Isobutane")-273.13</f>
        <v>-12.064756357096599</v>
      </c>
      <c r="H3" cm="1">
        <f t="array" ref="H3:H22">_xlfn.SEQUENCE(20,1,100000,100000)</f>
        <v>100000</v>
      </c>
    </row>
    <row r="4" spans="1:9" x14ac:dyDescent="0.55000000000000004">
      <c r="C4">
        <v>200000</v>
      </c>
      <c r="D4" cm="1">
        <f t="array" ref="D4">[1]!Propssi("T","P",C4,"Q",0,"Isobutane")-273.13</f>
        <v>7.0554515981456802</v>
      </c>
      <c r="H4">
        <v>200000</v>
      </c>
      <c r="I4" t="e" cm="1">
        <f t="array" ref="I4">[1]!Propssi("T","P",H4,"Q",0,"Docosane")-273.13</f>
        <v>#VALUE!</v>
      </c>
    </row>
    <row r="5" spans="1:9" x14ac:dyDescent="0.55000000000000004">
      <c r="A5" t="s">
        <v>1</v>
      </c>
      <c r="C5">
        <v>300000</v>
      </c>
      <c r="D5" cm="1">
        <f t="array" ref="D5">[1]!Propssi("T","P",C5,"Q",0,"Isobutane")-273.13</f>
        <v>19.776793963141472</v>
      </c>
      <c r="H5">
        <v>300000</v>
      </c>
      <c r="I5" t="e" cm="1">
        <f t="array" ref="I5">[1]!Propssi("T","P",H5,"Q",0,"Docosane")-273.13</f>
        <v>#VALUE!</v>
      </c>
    </row>
    <row r="6" spans="1:9" x14ac:dyDescent="0.55000000000000004">
      <c r="C6">
        <v>400000</v>
      </c>
      <c r="D6" cm="1">
        <f t="array" ref="D6">[1]!Propssi("T","P",C6,"Q",0,"Isobutane")-273.13</f>
        <v>29.60381091333187</v>
      </c>
      <c r="H6">
        <v>400000</v>
      </c>
      <c r="I6" t="e" cm="1">
        <f t="array" ref="I6">[1]!Propssi("T","P",H6,"Q",0,"Docosane")-273.13</f>
        <v>#VALUE!</v>
      </c>
    </row>
    <row r="7" spans="1:9" x14ac:dyDescent="0.55000000000000004">
      <c r="C7">
        <v>500000</v>
      </c>
      <c r="D7" cm="1">
        <f t="array" ref="D7">[1]!Propssi("T","P",C7,"Q",0,"Isobutane")-273.13</f>
        <v>37.733013480893078</v>
      </c>
      <c r="H7">
        <v>500000</v>
      </c>
      <c r="I7" t="e" cm="1">
        <f t="array" ref="I7">[1]!Propssi("T","P",H7,"Q",0,"Docosane")-273.13</f>
        <v>#VALUE!</v>
      </c>
    </row>
    <row r="8" spans="1:9" x14ac:dyDescent="0.55000000000000004">
      <c r="C8">
        <v>600000</v>
      </c>
      <c r="D8" cm="1">
        <f t="array" ref="D8">[1]!Propssi("T","P",C8,"Q",0,"Isobutane")-273.13</f>
        <v>44.729684551622256</v>
      </c>
      <c r="H8">
        <v>600000</v>
      </c>
      <c r="I8" t="e" cm="1">
        <f t="array" ref="I8">[1]!Propssi("T","P",H8,"Q",0,"Docosane")-273.13</f>
        <v>#VALUE!</v>
      </c>
    </row>
    <row r="9" spans="1:9" x14ac:dyDescent="0.55000000000000004">
      <c r="C9">
        <v>700000</v>
      </c>
      <c r="D9" cm="1">
        <f t="array" ref="D9">[1]!Propssi("T","P",C9,"Q",0,"Isobutane")-273.13</f>
        <v>50.909563365219412</v>
      </c>
      <c r="H9">
        <v>700000</v>
      </c>
      <c r="I9" t="e" cm="1">
        <f t="array" ref="I9">[1]!Propssi("T","P",H9,"Q",0,"Docosane")-273.13</f>
        <v>#VALUE!</v>
      </c>
    </row>
    <row r="10" spans="1:9" x14ac:dyDescent="0.55000000000000004">
      <c r="C10">
        <v>800000</v>
      </c>
      <c r="D10" cm="1">
        <f t="array" ref="D10">[1]!Propssi("T","P",C10,"Q",0,"Isobutane")-273.13</f>
        <v>56.468443819551055</v>
      </c>
      <c r="H10">
        <v>800000</v>
      </c>
      <c r="I10" t="e" cm="1">
        <f t="array" ref="I10">[1]!Propssi("T","P",H10,"Q",0,"Docosane")-273.13</f>
        <v>#VALUE!</v>
      </c>
    </row>
    <row r="11" spans="1:9" x14ac:dyDescent="0.55000000000000004">
      <c r="C11">
        <v>900000</v>
      </c>
      <c r="D11" cm="1">
        <f t="array" ref="D11">[1]!Propssi("T","P",C11,"Q",0,"Isobutane")-273.13</f>
        <v>61.536824320107428</v>
      </c>
      <c r="H11">
        <v>900000</v>
      </c>
      <c r="I11" t="e" cm="1">
        <f t="array" ref="I11">[1]!Propssi("T","P",H11,"Q",0,"Docosane")-273.13</f>
        <v>#VALUE!</v>
      </c>
    </row>
    <row r="12" spans="1:9" x14ac:dyDescent="0.55000000000000004">
      <c r="C12">
        <v>1000000</v>
      </c>
      <c r="D12" cm="1">
        <f t="array" ref="D12">[1]!Propssi("T","P",C12,"Q",0,"Isobutane")-273.13</f>
        <v>66.20642180001181</v>
      </c>
      <c r="H12">
        <v>1000000</v>
      </c>
      <c r="I12" t="e" cm="1">
        <f t="array" ref="I12">[1]!Propssi("T","P",H12,"Q",0,"Docosane")-273.13</f>
        <v>#VALUE!</v>
      </c>
    </row>
    <row r="13" spans="1:9" x14ac:dyDescent="0.55000000000000004">
      <c r="C13">
        <v>1100000</v>
      </c>
      <c r="D13" cm="1">
        <f t="array" ref="D13">[1]!Propssi("T","P",C13,"Q",0,"Isobutane")-273.13</f>
        <v>70.544376335506627</v>
      </c>
      <c r="H13">
        <v>1100000</v>
      </c>
      <c r="I13" t="e" cm="1">
        <f t="array" ref="I13">[1]!Propssi("T","P",H13,"Q",0,"Docosane")-273.13</f>
        <v>#VALUE!</v>
      </c>
    </row>
    <row r="14" spans="1:9" x14ac:dyDescent="0.55000000000000004">
      <c r="C14">
        <v>1200000</v>
      </c>
      <c r="D14" cm="1">
        <f t="array" ref="D14">[1]!Propssi("T","P",C14,"Q",0,"Isobutane")-273.13</f>
        <v>74.601447502581777</v>
      </c>
      <c r="H14">
        <v>1200000</v>
      </c>
      <c r="I14" t="e" cm="1">
        <f t="array" ref="I14">[1]!Propssi("T","P",H14,"Q",0,"Docosane")-273.13</f>
        <v>#VALUE!</v>
      </c>
    </row>
    <row r="15" spans="1:9" x14ac:dyDescent="0.55000000000000004">
      <c r="C15">
        <v>1300000</v>
      </c>
      <c r="D15" cm="1">
        <f t="array" ref="D15">[1]!Propssi("T","P",C15,"Q",0,"Isobutane")-273.13</f>
        <v>78.417026259352497</v>
      </c>
      <c r="H15">
        <v>1300000</v>
      </c>
      <c r="I15" t="e" cm="1">
        <f t="array" ref="I15">[1]!Propssi("T","P",H15,"Q",0,"Docosane")-273.13</f>
        <v>#VALUE!</v>
      </c>
    </row>
    <row r="16" spans="1:9" x14ac:dyDescent="0.55000000000000004">
      <c r="C16">
        <v>1400000</v>
      </c>
      <c r="D16" cm="1">
        <f t="array" ref="D16">[1]!Propssi("T","P",C16,"Q",0,"Isobutane")-273.13</f>
        <v>82.022346691393864</v>
      </c>
      <c r="H16">
        <v>1400000</v>
      </c>
      <c r="I16" t="e" cm="1">
        <f t="array" ref="I16">[1]!Propssi("T","P",H16,"Q",0,"Docosane")-273.13</f>
        <v>#VALUE!</v>
      </c>
    </row>
    <row r="17" spans="3:9" x14ac:dyDescent="0.55000000000000004">
      <c r="C17">
        <v>1500000</v>
      </c>
      <c r="D17" cm="1">
        <f t="array" ref="D17">[1]!Propssi("T","P",C17,"Q",0,"Isobutane")-273.13</f>
        <v>85.442625751026355</v>
      </c>
      <c r="H17">
        <v>1500000</v>
      </c>
      <c r="I17" t="e" cm="1">
        <f t="array" ref="I17">[1]!Propssi("T","P",H17,"Q",0,"Docosane")-273.13</f>
        <v>#VALUE!</v>
      </c>
    </row>
    <row r="18" spans="3:9" x14ac:dyDescent="0.55000000000000004">
      <c r="C18">
        <v>1600000</v>
      </c>
      <c r="D18" cm="1">
        <f t="array" ref="D18">[1]!Propssi("T","P",C18,"Q",0,"Isobutane")-273.13</f>
        <v>88.698536307777147</v>
      </c>
      <c r="H18">
        <v>1600000</v>
      </c>
      <c r="I18" t="e" cm="1">
        <f t="array" ref="I18">[1]!Propssi("T","P",H18,"Q",0,"Docosane")-273.13</f>
        <v>#VALUE!</v>
      </c>
    </row>
    <row r="19" spans="3:9" x14ac:dyDescent="0.55000000000000004">
      <c r="C19">
        <v>1700000</v>
      </c>
      <c r="D19" cm="1">
        <f t="array" ref="D19">[1]!Propssi("T","P",C19,"Q",0,"Isobutane")-273.13</f>
        <v>91.807249980021538</v>
      </c>
      <c r="H19">
        <v>1700000</v>
      </c>
      <c r="I19" t="e" cm="1">
        <f t="array" ref="I19">[1]!Propssi("T","P",H19,"Q",0,"Docosane")-273.13</f>
        <v>#VALUE!</v>
      </c>
    </row>
    <row r="20" spans="3:9" x14ac:dyDescent="0.55000000000000004">
      <c r="C20">
        <v>1800000</v>
      </c>
      <c r="D20" cm="1">
        <f t="array" ref="D20">[1]!Propssi("T","P",C20,"Q",0,"Isobutane")-273.13</f>
        <v>94.783193330273605</v>
      </c>
      <c r="H20">
        <v>1800000</v>
      </c>
      <c r="I20" t="e" cm="1">
        <f t="array" ref="I20">[1]!Propssi("T","P",H20,"Q",0,"Docosane")-273.13</f>
        <v>#VALUE!</v>
      </c>
    </row>
    <row r="21" spans="3:9" x14ac:dyDescent="0.55000000000000004">
      <c r="C21">
        <v>1900000</v>
      </c>
      <c r="D21" cm="1">
        <f t="array" ref="D21">[1]!Propssi("T","P",C21,"Q",0,"Isobutane")-273.13</f>
        <v>97.638607681198664</v>
      </c>
      <c r="H21">
        <v>1900000</v>
      </c>
      <c r="I21" t="e" cm="1">
        <f t="array" ref="I21">[1]!Propssi("T","P",H21,"Q",0,"Docosane")-273.13</f>
        <v>#VALUE!</v>
      </c>
    </row>
    <row r="22" spans="3:9" x14ac:dyDescent="0.55000000000000004">
      <c r="C22">
        <v>2000000</v>
      </c>
      <c r="D22" cm="1">
        <f t="array" ref="D22">[1]!Propssi("T","P",C22,"Q",0,"Isobutane")-273.13</f>
        <v>100.38397104357256</v>
      </c>
      <c r="H22">
        <v>2000000</v>
      </c>
      <c r="I22" t="e" cm="1">
        <f t="array" ref="I22">[1]!Propssi("T","P",H22,"Q",0,"Docosane")-273.13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2025-01-24T21:44:59Z</dcterms:created>
  <dcterms:modified xsi:type="dcterms:W3CDTF">2025-01-24T21:56:26Z</dcterms:modified>
</cp:coreProperties>
</file>