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ocuments\"/>
    </mc:Choice>
  </mc:AlternateContent>
  <xr:revisionPtr revIDLastSave="0" documentId="13_ncr:1_{B886BA5C-3A45-4BC1-B1FB-8C4155643427}" xr6:coauthVersionLast="47" xr6:coauthVersionMax="47" xr10:uidLastSave="{00000000-0000-0000-0000-000000000000}"/>
  <bookViews>
    <workbookView xWindow="-96" yWindow="-96" windowWidth="23232" windowHeight="12552" xr2:uid="{316DDDFB-B472-4662-B0A8-D8B204505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7" i="1"/>
  <c r="C7" i="1"/>
  <c r="D4" i="1"/>
  <c r="D7" i="1" s="1"/>
  <c r="A14" i="1"/>
  <c r="A10" i="1"/>
  <c r="A6" i="1"/>
  <c r="E4" i="1" l="1"/>
  <c r="E7" i="1" l="1"/>
  <c r="F4" i="1"/>
  <c r="F7" i="1" s="1"/>
</calcChain>
</file>

<file path=xl/sharedStrings.xml><?xml version="1.0" encoding="utf-8"?>
<sst xmlns="http://schemas.openxmlformats.org/spreadsheetml/2006/main" count="18" uniqueCount="18">
  <si>
    <t>Wax Molar Mass</t>
  </si>
  <si>
    <t>Wax Carbon Number</t>
  </si>
  <si>
    <t># of C</t>
  </si>
  <si>
    <t>#of H</t>
  </si>
  <si>
    <t>C molar mass</t>
  </si>
  <si>
    <t>H molar mass</t>
  </si>
  <si>
    <t>mol/day of wax needed</t>
  </si>
  <si>
    <t>mols/hour of wax needed</t>
  </si>
  <si>
    <t>mol/min of wax needed</t>
  </si>
  <si>
    <t>mol/s of wax needed</t>
  </si>
  <si>
    <t>g/day of wax needed</t>
  </si>
  <si>
    <t>g/hour of wax needed</t>
  </si>
  <si>
    <t>g/min of wax needed</t>
  </si>
  <si>
    <t>g/s of wax needed</t>
  </si>
  <si>
    <t>C conversion %</t>
  </si>
  <si>
    <t>Selectivity Towards Desired C</t>
  </si>
  <si>
    <t>mol/s Nat Gas Needed</t>
  </si>
  <si>
    <t>g/s Nat Gas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</si>
</sst>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9" fontId="0" fillId="0" borderId="0" xfId="0" applyNumberFormat="1"/>
    <xf numFmtId="170" fontId="0" fillId="2" borderId="0" xfId="0" applyNumberFormat="1" applyFill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659B-13B0-491E-8564-050E52D69C53}">
  <dimension ref="A3:K14"/>
  <sheetViews>
    <sheetView tabSelected="1" topLeftCell="C1" workbookViewId="0">
      <selection activeCell="K11" sqref="K11"/>
    </sheetView>
  </sheetViews>
  <sheetFormatPr defaultRowHeight="14.4" x14ac:dyDescent="0.55000000000000004"/>
  <cols>
    <col min="1" max="1" width="13.26171875" customWidth="1"/>
    <col min="3" max="3" width="17.3125" customWidth="1"/>
    <col min="4" max="4" width="17.68359375" customWidth="1"/>
    <col min="5" max="5" width="18.26171875" customWidth="1"/>
    <col min="6" max="6" width="17.9453125" customWidth="1"/>
    <col min="8" max="8" width="12.7890625" customWidth="1"/>
    <col min="9" max="9" width="26.41796875" customWidth="1"/>
    <col min="11" max="11" width="18.83984375" customWidth="1"/>
  </cols>
  <sheetData>
    <row r="3" spans="1:11" x14ac:dyDescent="0.55000000000000004">
      <c r="A3" t="s">
        <v>1</v>
      </c>
      <c r="C3" t="s">
        <v>10</v>
      </c>
      <c r="D3" t="s">
        <v>11</v>
      </c>
      <c r="E3" t="s">
        <v>12</v>
      </c>
      <c r="F3" t="s">
        <v>13</v>
      </c>
      <c r="H3" t="s">
        <v>14</v>
      </c>
      <c r="I3" t="s">
        <v>15</v>
      </c>
      <c r="K3" t="s">
        <v>17</v>
      </c>
    </row>
    <row r="4" spans="1:11" x14ac:dyDescent="0.55000000000000004">
      <c r="A4" s="1">
        <v>25</v>
      </c>
      <c r="C4" s="4">
        <v>20000</v>
      </c>
      <c r="D4" s="5">
        <f>C4/24</f>
        <v>833.33333333333337</v>
      </c>
      <c r="E4" s="5">
        <f>D4/60</f>
        <v>13.888888888888889</v>
      </c>
      <c r="F4" s="5">
        <f>E4/60</f>
        <v>0.23148148148148148</v>
      </c>
      <c r="G4" s="2"/>
      <c r="H4" s="3">
        <v>0.65</v>
      </c>
      <c r="I4" s="3">
        <v>0.8</v>
      </c>
      <c r="K4" s="5">
        <f>K7*(12.01+4*1.01)</f>
        <v>0.50633308935460475</v>
      </c>
    </row>
    <row r="5" spans="1:11" x14ac:dyDescent="0.55000000000000004">
      <c r="A5" t="s">
        <v>2</v>
      </c>
    </row>
    <row r="6" spans="1:11" x14ac:dyDescent="0.55000000000000004">
      <c r="A6">
        <f>A4</f>
        <v>25</v>
      </c>
      <c r="C6" t="s">
        <v>6</v>
      </c>
      <c r="D6" t="s">
        <v>7</v>
      </c>
      <c r="E6" t="s">
        <v>8</v>
      </c>
      <c r="F6" t="s">
        <v>9</v>
      </c>
      <c r="K6" t="s">
        <v>16</v>
      </c>
    </row>
    <row r="7" spans="1:11" x14ac:dyDescent="0.55000000000000004">
      <c r="A7" t="s">
        <v>4</v>
      </c>
      <c r="C7" s="5">
        <f>C4/$A$14</f>
        <v>56.694163335884575</v>
      </c>
      <c r="D7" s="5">
        <f t="shared" ref="D7:F7" si="0">D4/$A$14</f>
        <v>2.3622568056618571</v>
      </c>
      <c r="E7" s="5">
        <f t="shared" si="0"/>
        <v>3.9370946761030957E-2</v>
      </c>
      <c r="F7" s="5">
        <f t="shared" si="0"/>
        <v>6.5618244601718255E-4</v>
      </c>
      <c r="K7" s="5">
        <f>(F7/H4/I4)*A4</f>
        <v>3.1547232981595313E-2</v>
      </c>
    </row>
    <row r="8" spans="1:11" x14ac:dyDescent="0.55000000000000004">
      <c r="A8">
        <v>12.01</v>
      </c>
    </row>
    <row r="9" spans="1:11" x14ac:dyDescent="0.55000000000000004">
      <c r="A9" t="s">
        <v>3</v>
      </c>
    </row>
    <row r="10" spans="1:11" x14ac:dyDescent="0.55000000000000004">
      <c r="A10">
        <f>A4*2+2</f>
        <v>52</v>
      </c>
    </row>
    <row r="11" spans="1:11" x14ac:dyDescent="0.55000000000000004">
      <c r="A11" t="s">
        <v>5</v>
      </c>
    </row>
    <row r="12" spans="1:11" x14ac:dyDescent="0.55000000000000004">
      <c r="A12">
        <v>1.01</v>
      </c>
    </row>
    <row r="13" spans="1:11" x14ac:dyDescent="0.55000000000000004">
      <c r="A13" t="s">
        <v>0</v>
      </c>
    </row>
    <row r="14" spans="1:11" x14ac:dyDescent="0.55000000000000004">
      <c r="A14">
        <f>A6*A8+A10*A12</f>
        <v>352.77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2025-08-25T19:58:00Z</dcterms:created>
  <dcterms:modified xsi:type="dcterms:W3CDTF">2025-08-25T21:29:08Z</dcterms:modified>
</cp:coreProperties>
</file>