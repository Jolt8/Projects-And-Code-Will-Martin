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7dc15bcba0753/Documents/"/>
    </mc:Choice>
  </mc:AlternateContent>
  <xr:revisionPtr revIDLastSave="0" documentId="8_{D9799BBC-BB55-4C5B-9BF6-E468944DC7BC}" xr6:coauthVersionLast="47" xr6:coauthVersionMax="47" xr10:uidLastSave="{00000000-0000-0000-0000-000000000000}"/>
  <bookViews>
    <workbookView xWindow="-96" yWindow="-96" windowWidth="23232" windowHeight="12552" xr2:uid="{F3002726-7162-4036-8357-8D70DD5C89C7}"/>
  </bookViews>
  <sheets>
    <sheet name="Water saturation table" sheetId="1" r:id="rId1"/>
  </sheets>
  <externalReferences>
    <externalReference r:id="rId2"/>
    <externalReference r:id="rId3"/>
  </externalReferences>
  <definedNames>
    <definedName name="FluidType">[1]Lists!$J$6:$J$7</definedName>
    <definedName name="ParameterList">[1]Lists!$H$6:$H$170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7" i="1"/>
  <c r="C48" i="1"/>
  <c r="C49" i="1"/>
  <c r="C50" i="1"/>
  <c r="C51" i="1"/>
  <c r="C52" i="1"/>
  <c r="C53" i="1"/>
  <c r="C54" i="1"/>
  <c r="C55" i="1"/>
  <c r="C56" i="1"/>
  <c r="B7" i="1" a="1"/>
  <c r="B7" i="1" s="1"/>
  <c r="C7" i="1" s="1"/>
  <c r="C45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E47" i="1"/>
  <c r="G48" i="1"/>
  <c r="E51" i="1"/>
  <c r="G52" i="1"/>
  <c r="H48" i="1"/>
  <c r="H56" i="1"/>
  <c r="G55" i="1"/>
  <c r="D46" i="1"/>
  <c r="E46" i="1"/>
  <c r="E50" i="1"/>
  <c r="F46" i="1"/>
  <c r="H47" i="1"/>
  <c r="D49" i="1"/>
  <c r="F50" i="1"/>
  <c r="H51" i="1"/>
  <c r="D53" i="1"/>
  <c r="F54" i="1"/>
  <c r="H55" i="1"/>
  <c r="D48" i="1"/>
  <c r="F49" i="1"/>
  <c r="H54" i="1"/>
  <c r="F52" i="1"/>
  <c r="F47" i="1"/>
  <c r="H52" i="1"/>
  <c r="G47" i="1"/>
  <c r="G46" i="1"/>
  <c r="E49" i="1"/>
  <c r="G50" i="1"/>
  <c r="E53" i="1"/>
  <c r="G54" i="1"/>
  <c r="H50" i="1"/>
  <c r="F56" i="1"/>
  <c r="D54" i="1"/>
  <c r="H46" i="1"/>
  <c r="D52" i="1"/>
  <c r="F53" i="1"/>
  <c r="D56" i="1"/>
  <c r="H53" i="1"/>
  <c r="E55" i="1"/>
  <c r="D50" i="1"/>
  <c r="E54" i="1"/>
  <c r="E48" i="1"/>
  <c r="G49" i="1"/>
  <c r="E52" i="1"/>
  <c r="G53" i="1"/>
  <c r="E56" i="1"/>
  <c r="D47" i="1"/>
  <c r="F48" i="1"/>
  <c r="H49" i="1"/>
  <c r="D51" i="1"/>
  <c r="D55" i="1"/>
  <c r="G56" i="1"/>
  <c r="F51" i="1"/>
  <c r="F55" i="1"/>
  <c r="G51" i="1"/>
  <c r="D45" i="1"/>
  <c r="D44" i="1"/>
  <c r="D9" i="1"/>
  <c r="F9" i="1"/>
  <c r="E9" i="1"/>
  <c r="D8" i="1"/>
  <c r="D7" i="1"/>
  <c r="H7" i="1"/>
  <c r="G7" i="1"/>
  <c r="G10" i="1"/>
  <c r="E13" i="1"/>
  <c r="G14" i="1"/>
  <c r="E17" i="1"/>
  <c r="G18" i="1"/>
  <c r="E21" i="1"/>
  <c r="G22" i="1"/>
  <c r="E25" i="1"/>
  <c r="G26" i="1"/>
  <c r="E29" i="1"/>
  <c r="G30" i="1"/>
  <c r="E33" i="1"/>
  <c r="G34" i="1"/>
  <c r="E37" i="1"/>
  <c r="G38" i="1"/>
  <c r="E41" i="1"/>
  <c r="G42" i="1"/>
  <c r="E45" i="1"/>
  <c r="H26" i="1"/>
  <c r="F29" i="1"/>
  <c r="H30" i="1"/>
  <c r="D32" i="1"/>
  <c r="H34" i="1"/>
  <c r="F37" i="1"/>
  <c r="H38" i="1"/>
  <c r="D40" i="1"/>
  <c r="F41" i="1"/>
  <c r="H42" i="1"/>
  <c r="F45" i="1"/>
  <c r="D18" i="1"/>
  <c r="H24" i="1"/>
  <c r="D30" i="1"/>
  <c r="F31" i="1"/>
  <c r="D34" i="1"/>
  <c r="D38" i="1"/>
  <c r="H40" i="1"/>
  <c r="F10" i="1"/>
  <c r="D17" i="1"/>
  <c r="F22" i="1"/>
  <c r="F26" i="1"/>
  <c r="D33" i="1"/>
  <c r="D41" i="1"/>
  <c r="H10" i="1"/>
  <c r="D12" i="1"/>
  <c r="F13" i="1"/>
  <c r="H14" i="1"/>
  <c r="D16" i="1"/>
  <c r="F17" i="1"/>
  <c r="H18" i="1"/>
  <c r="D20" i="1"/>
  <c r="F21" i="1"/>
  <c r="H22" i="1"/>
  <c r="D24" i="1"/>
  <c r="F25" i="1"/>
  <c r="D28" i="1"/>
  <c r="F33" i="1"/>
  <c r="D36" i="1"/>
  <c r="E8" i="1"/>
  <c r="G9" i="1"/>
  <c r="E12" i="1"/>
  <c r="G13" i="1"/>
  <c r="E16" i="1"/>
  <c r="G17" i="1"/>
  <c r="E20" i="1"/>
  <c r="G21" i="1"/>
  <c r="E24" i="1"/>
  <c r="G25" i="1"/>
  <c r="E28" i="1"/>
  <c r="G29" i="1"/>
  <c r="E32" i="1"/>
  <c r="G33" i="1"/>
  <c r="E36" i="1"/>
  <c r="G37" i="1"/>
  <c r="E40" i="1"/>
  <c r="G41" i="1"/>
  <c r="E44" i="1"/>
  <c r="G45" i="1"/>
  <c r="H33" i="1"/>
  <c r="F36" i="1"/>
  <c r="F40" i="1"/>
  <c r="F44" i="1"/>
  <c r="F23" i="1"/>
  <c r="H28" i="1"/>
  <c r="H32" i="1"/>
  <c r="F39" i="1"/>
  <c r="H44" i="1"/>
  <c r="E42" i="1"/>
  <c r="D13" i="1"/>
  <c r="H19" i="1"/>
  <c r="D25" i="1"/>
  <c r="D29" i="1"/>
  <c r="D37" i="1"/>
  <c r="F42" i="1"/>
  <c r="F8" i="1"/>
  <c r="H9" i="1"/>
  <c r="D11" i="1"/>
  <c r="F12" i="1"/>
  <c r="H13" i="1"/>
  <c r="D15" i="1"/>
  <c r="F16" i="1"/>
  <c r="H17" i="1"/>
  <c r="D19" i="1"/>
  <c r="F20" i="1"/>
  <c r="H21" i="1"/>
  <c r="D23" i="1"/>
  <c r="F24" i="1"/>
  <c r="H25" i="1"/>
  <c r="D27" i="1"/>
  <c r="F28" i="1"/>
  <c r="H29" i="1"/>
  <c r="D31" i="1"/>
  <c r="F32" i="1"/>
  <c r="D35" i="1"/>
  <c r="H37" i="1"/>
  <c r="D39" i="1"/>
  <c r="H41" i="1"/>
  <c r="D43" i="1"/>
  <c r="H45" i="1"/>
  <c r="H20" i="1"/>
  <c r="F35" i="1"/>
  <c r="D42" i="1"/>
  <c r="G43" i="1"/>
  <c r="F14" i="1"/>
  <c r="F30" i="1"/>
  <c r="F34" i="1"/>
  <c r="H39" i="1"/>
  <c r="H43" i="1"/>
  <c r="G8" i="1"/>
  <c r="E11" i="1"/>
  <c r="G12" i="1"/>
  <c r="E15" i="1"/>
  <c r="G16" i="1"/>
  <c r="E19" i="1"/>
  <c r="G20" i="1"/>
  <c r="E23" i="1"/>
  <c r="G24" i="1"/>
  <c r="E27" i="1"/>
  <c r="G28" i="1"/>
  <c r="E31" i="1"/>
  <c r="G32" i="1"/>
  <c r="E35" i="1"/>
  <c r="G36" i="1"/>
  <c r="E39" i="1"/>
  <c r="G40" i="1"/>
  <c r="E43" i="1"/>
  <c r="G44" i="1"/>
  <c r="H8" i="1"/>
  <c r="D10" i="1"/>
  <c r="F11" i="1"/>
  <c r="H12" i="1"/>
  <c r="D14" i="1"/>
  <c r="F15" i="1"/>
  <c r="H16" i="1"/>
  <c r="F19" i="1"/>
  <c r="D22" i="1"/>
  <c r="D26" i="1"/>
  <c r="F27" i="1"/>
  <c r="H36" i="1"/>
  <c r="F43" i="1"/>
  <c r="G39" i="1"/>
  <c r="H11" i="1"/>
  <c r="H15" i="1"/>
  <c r="D21" i="1"/>
  <c r="H35" i="1"/>
  <c r="E10" i="1"/>
  <c r="G11" i="1"/>
  <c r="E14" i="1"/>
  <c r="G15" i="1"/>
  <c r="E18" i="1"/>
  <c r="G19" i="1"/>
  <c r="E22" i="1"/>
  <c r="G23" i="1"/>
  <c r="E26" i="1"/>
  <c r="G27" i="1"/>
  <c r="E30" i="1"/>
  <c r="G31" i="1"/>
  <c r="E34" i="1"/>
  <c r="G35" i="1"/>
  <c r="E38" i="1"/>
  <c r="F18" i="1"/>
  <c r="H23" i="1"/>
  <c r="H27" i="1"/>
  <c r="H31" i="1"/>
  <c r="F38" i="1"/>
  <c r="F7" i="1"/>
  <c r="E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<sst xmlns="http://schemas.openxmlformats.org/spreadsheetml/2006/main" count="21" uniqueCount="14">
  <si>
    <t>Saturation Table for water</t>
  </si>
  <si>
    <t>Temperature</t>
  </si>
  <si>
    <t>Pressure</t>
  </si>
  <si>
    <t>Sat. Liq.</t>
  </si>
  <si>
    <t>Sat. Vap.</t>
  </si>
  <si>
    <t>Density</t>
  </si>
  <si>
    <t>Enthalpy</t>
  </si>
  <si>
    <r>
      <rPr>
        <sz val="11"/>
        <color theme="1"/>
        <rFont val="Times New Roman"/>
        <family val="1"/>
      </rPr>
      <t>°</t>
    </r>
    <r>
      <rPr>
        <sz val="11"/>
        <color theme="1"/>
        <rFont val="Calibri"/>
        <family val="2"/>
      </rPr>
      <t>C</t>
    </r>
  </si>
  <si>
    <t>K</t>
  </si>
  <si>
    <t>kPa</t>
  </si>
  <si>
    <r>
      <t>kg/m</t>
    </r>
    <r>
      <rPr>
        <sz val="11"/>
        <color theme="1"/>
        <rFont val="Times New Roman"/>
        <family val="1"/>
      </rPr>
      <t>³</t>
    </r>
  </si>
  <si>
    <t>kJ/kg</t>
  </si>
  <si>
    <t>Fluid:</t>
  </si>
  <si>
    <t>Isobutane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</si>
</sst>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/>
      <right style="thick">
        <color theme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/>
    <xf numFmtId="1" fontId="0" fillId="0" borderId="0" xfId="0" applyNumberFormat="1"/>
    <xf numFmtId="2" fontId="0" fillId="0" borderId="0" xfId="0" applyNumberFormat="1" applyAlignment="1">
      <alignment horizontal="center"/>
    </xf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Pressure</a:t>
            </a:r>
            <a:r>
              <a:rPr lang="en-US" baseline="0"/>
              <a:t>-Enthalpy Plot for Water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1511351706036747"/>
          <c:y val="0.1798186284406757"/>
          <c:w val="0.72316338582677164"/>
          <c:h val="0.6120546470152769"/>
        </c:manualLayout>
      </c:layout>
      <c:scatterChart>
        <c:scatterStyle val="lineMarker"/>
        <c:varyColors val="0"/>
        <c:ser>
          <c:idx val="0"/>
          <c:order val="0"/>
          <c:tx>
            <c:v>Sat. Liquid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'Water saturation table'!$G$7:$G$45</c:f>
              <c:numCache>
                <c:formatCode>0.000000</c:formatCode>
                <c:ptCount val="39"/>
                <c:pt idx="0">
                  <c:v>91.763519242430505</c:v>
                </c:pt>
                <c:pt idx="1">
                  <c:v>97.945162447175932</c:v>
                </c:pt>
                <c:pt idx="2">
                  <c:v>104.1632078228631</c:v>
                </c:pt>
                <c:pt idx="3">
                  <c:v>110.41830079346124</c:v>
                </c:pt>
                <c:pt idx="4">
                  <c:v>116.71110724204016</c:v>
                </c:pt>
                <c:pt idx="5">
                  <c:v>123.04231329172237</c:v>
                </c:pt>
                <c:pt idx="6">
                  <c:v>129.41262518543661</c:v>
                </c:pt>
                <c:pt idx="7">
                  <c:v>135.82276927401008</c:v>
                </c:pt>
                <c:pt idx="8">
                  <c:v>142.27349212244141</c:v>
                </c:pt>
                <c:pt idx="9">
                  <c:v>148.76556074467479</c:v>
                </c:pt>
                <c:pt idx="10">
                  <c:v>155.29976297771552</c:v>
                </c:pt>
                <c:pt idx="11">
                  <c:v>161.87690800672044</c:v>
                </c:pt>
                <c:pt idx="12">
                  <c:v>168.4978270535496</c:v>
                </c:pt>
                <c:pt idx="13">
                  <c:v>175.1633742423831</c:v>
                </c:pt>
                <c:pt idx="14">
                  <c:v>181.87442765740539</c:v>
                </c:pt>
                <c:pt idx="15">
                  <c:v>188.6318906091542</c:v>
                </c:pt>
                <c:pt idx="16">
                  <c:v>195.43669312818176</c:v>
                </c:pt>
                <c:pt idx="17">
                  <c:v>202.28979370702498</c:v>
                </c:pt>
                <c:pt idx="18">
                  <c:v>209.19218131439789</c:v>
                </c:pt>
                <c:pt idx="19">
                  <c:v>216.14487770896329</c:v>
                </c:pt>
                <c:pt idx="20">
                  <c:v>223.14894008415382</c:v>
                </c:pt>
                <c:pt idx="21">
                  <c:v>230.20546408050129</c:v>
                </c:pt>
                <c:pt idx="22">
                  <c:v>237.31558720786609</c:v>
                </c:pt>
                <c:pt idx="23">
                  <c:v>244.48049272712663</c:v>
                </c:pt>
                <c:pt idx="24">
                  <c:v>251.70141404952457</c:v>
                </c:pt>
                <c:pt idx="25">
                  <c:v>258.97963972229866</c:v>
                </c:pt>
                <c:pt idx="26">
                  <c:v>266.31651908193601</c:v>
                </c:pt>
                <c:pt idx="27">
                  <c:v>273.7134686717809</c:v>
                </c:pt>
                <c:pt idx="28">
                  <c:v>281.17197953961403</c:v>
                </c:pt>
                <c:pt idx="29">
                  <c:v>288.69362555398487</c:v>
                </c:pt>
                <c:pt idx="30">
                  <c:v>296.28007290679375</c:v>
                </c:pt>
                <c:pt idx="31">
                  <c:v>303.93309100563823</c:v>
                </c:pt>
                <c:pt idx="32">
                  <c:v>311.6545650053813</c:v>
                </c:pt>
                <c:pt idx="33">
                  <c:v>319.44651028796358</c:v>
                </c:pt>
                <c:pt idx="34">
                  <c:v>327.31108927787085</c:v>
                </c:pt>
                <c:pt idx="35">
                  <c:v>335.25063108445687</c:v>
                </c:pt>
                <c:pt idx="36">
                  <c:v>343.26765459941623</c:v>
                </c:pt>
                <c:pt idx="37">
                  <c:v>351.36489585678476</c:v>
                </c:pt>
                <c:pt idx="38">
                  <c:v>359.54534069338251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16.796939035387762</c:v>
                </c:pt>
                <c:pt idx="1">
                  <c:v>19.84018663940806</c:v>
                </c:pt>
                <c:pt idx="2">
                  <c:v>23.316783146665678</c:v>
                </c:pt>
                <c:pt idx="3">
                  <c:v>27.270578122081343</c:v>
                </c:pt>
                <c:pt idx="4">
                  <c:v>31.747785507471139</c:v>
                </c:pt>
                <c:pt idx="5">
                  <c:v>36.796944907005994</c:v>
                </c:pt>
                <c:pt idx="6">
                  <c:v>42.468875011151233</c:v>
                </c:pt>
                <c:pt idx="7">
                  <c:v>48.816620158175823</c:v>
                </c:pt>
                <c:pt idx="8">
                  <c:v>55.895391048507655</c:v>
                </c:pt>
                <c:pt idx="9">
                  <c:v>63.762500633423784</c:v>
                </c:pt>
                <c:pt idx="10">
                  <c:v>72.477296174549238</c:v>
                </c:pt>
                <c:pt idx="11">
                  <c:v>82.10108845540789</c:v>
                </c:pt>
                <c:pt idx="12">
                  <c:v>92.697079091358759</c:v>
                </c:pt>
                <c:pt idx="13">
                  <c:v>104.33028682919903</c:v>
                </c:pt>
                <c:pt idx="14">
                  <c:v>117.06747370178692</c:v>
                </c:pt>
                <c:pt idx="15">
                  <c:v>130.9770718324923</c:v>
                </c:pt>
                <c:pt idx="16">
                  <c:v>146.12911165341964</c:v>
                </c:pt>
                <c:pt idx="17">
                  <c:v>162.59515223329888</c:v>
                </c:pt>
                <c:pt idx="18">
                  <c:v>180.44821437978231</c:v>
                </c:pt>
                <c:pt idx="19">
                  <c:v>199.76271712740575</c:v>
                </c:pt>
                <c:pt idx="20">
                  <c:v>220.61441818173171</c:v>
                </c:pt>
                <c:pt idx="21">
                  <c:v>243.08035886476753</c:v>
                </c:pt>
                <c:pt idx="22">
                  <c:v>267.23881407518047</c:v>
                </c:pt>
                <c:pt idx="23">
                  <c:v>293.16924777318656</c:v>
                </c:pt>
                <c:pt idx="24">
                  <c:v>320.95227450959709</c:v>
                </c:pt>
                <c:pt idx="25">
                  <c:v>350.66962756803474</c:v>
                </c:pt>
                <c:pt idx="26">
                  <c:v>382.40413438813795</c:v>
                </c:pt>
                <c:pt idx="27">
                  <c:v>416.23970008716503</c:v>
                </c:pt>
                <c:pt idx="28">
                  <c:v>452.26130009517647</c:v>
                </c:pt>
                <c:pt idx="29">
                  <c:v>490.55498311955881</c:v>
                </c:pt>
                <c:pt idx="30">
                  <c:v>531.20788577168912</c:v>
                </c:pt>
                <c:pt idx="31">
                  <c:v>574.30826012423961</c:v>
                </c:pt>
                <c:pt idx="32">
                  <c:v>619.94551513797069</c:v>
                </c:pt>
                <c:pt idx="33">
                  <c:v>668.21027226297315</c:v>
                </c:pt>
                <c:pt idx="34">
                  <c:v>719.19443470108808</c:v>
                </c:pt>
                <c:pt idx="35">
                  <c:v>772.99126901924365</c:v>
                </c:pt>
                <c:pt idx="36">
                  <c:v>829.69549736642739</c:v>
                </c:pt>
                <c:pt idx="37">
                  <c:v>889.40339876369546</c:v>
                </c:pt>
                <c:pt idx="38">
                  <c:v>952.21291901707298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7-4253-933F-CCDD10C86168}"/>
            </c:ext>
          </c:extLst>
        </c:ser>
        <c:ser>
          <c:idx val="1"/>
          <c:order val="1"/>
          <c:tx>
            <c:v>Sat. Vapor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'Water saturation table'!$H$7:$H$45</c:f>
              <c:numCache>
                <c:formatCode>0.000000</c:formatCode>
                <c:ptCount val="39"/>
                <c:pt idx="0">
                  <c:v>488.48922831963364</c:v>
                </c:pt>
                <c:pt idx="1">
                  <c:v>492.32500630103533</c:v>
                </c:pt>
                <c:pt idx="2">
                  <c:v>496.1801897548429</c:v>
                </c:pt>
                <c:pt idx="3">
                  <c:v>500.05385640160165</c:v>
                </c:pt>
                <c:pt idx="4">
                  <c:v>503.94507239372695</c:v>
                </c:pt>
                <c:pt idx="5">
                  <c:v>507.85289264323336</c:v>
                </c:pt>
                <c:pt idx="6">
                  <c:v>511.77636087190774</c:v>
                </c:pt>
                <c:pt idx="7">
                  <c:v>515.71450937063628</c:v>
                </c:pt>
                <c:pt idx="8">
                  <c:v>519.66635845691587</c:v>
                </c:pt>
                <c:pt idx="9">
                  <c:v>523.63091562118166</c:v>
                </c:pt>
                <c:pt idx="10">
                  <c:v>527.6071743534942</c:v>
                </c:pt>
                <c:pt idx="11">
                  <c:v>531.59411264233893</c:v>
                </c:pt>
                <c:pt idx="12">
                  <c:v>535.59069113682017</c:v>
                </c:pt>
                <c:pt idx="13">
                  <c:v>539.59585096237618</c:v>
                </c:pt>
                <c:pt idx="14">
                  <c:v>543.60851117830271</c:v>
                </c:pt>
                <c:pt idx="15">
                  <c:v>547.62756586285047</c:v>
                </c:pt>
                <c:pt idx="16">
                  <c:v>551.65188080843973</c:v>
                </c:pt>
                <c:pt idx="17">
                  <c:v>555.68028980568738</c:v>
                </c:pt>
                <c:pt idx="18">
                  <c:v>559.71159049075663</c:v>
                </c:pt>
                <c:pt idx="19">
                  <c:v>563.74453972694653</c:v>
                </c:pt>
                <c:pt idx="20">
                  <c:v>567.77784849079751</c:v>
                </c:pt>
                <c:pt idx="21">
                  <c:v>571.81017623996752</c:v>
                </c:pt>
                <c:pt idx="22">
                  <c:v>575.84012476169084</c:v>
                </c:pt>
                <c:pt idx="23">
                  <c:v>579.86623154272513</c:v>
                </c:pt>
                <c:pt idx="24">
                  <c:v>583.88696275999177</c:v>
                </c:pt>
                <c:pt idx="25">
                  <c:v>587.90070603590573</c:v>
                </c:pt>
                <c:pt idx="26">
                  <c:v>591.90576306482808</c:v>
                </c:pt>
                <c:pt idx="27">
                  <c:v>595.90034199365766</c:v>
                </c:pt>
                <c:pt idx="28">
                  <c:v>599.88254893220517</c:v>
                </c:pt>
                <c:pt idx="29">
                  <c:v>603.85037716352849</c:v>
                </c:pt>
                <c:pt idx="30">
                  <c:v>607.80169167727945</c:v>
                </c:pt>
                <c:pt idx="31">
                  <c:v>611.73420592088519</c:v>
                </c:pt>
                <c:pt idx="32">
                  <c:v>615.64544763908248</c:v>
                </c:pt>
                <c:pt idx="33">
                  <c:v>619.53271175797067</c:v>
                </c:pt>
                <c:pt idx="34">
                  <c:v>623.39300053636225</c:v>
                </c:pt>
                <c:pt idx="35">
                  <c:v>627.22295421625643</c:v>
                </c:pt>
                <c:pt idx="36">
                  <c:v>631.0187782409032</c:v>
                </c:pt>
                <c:pt idx="37">
                  <c:v>634.77617465609967</c:v>
                </c:pt>
                <c:pt idx="38">
                  <c:v>638.49028467361654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16.796939035387762</c:v>
                </c:pt>
                <c:pt idx="1">
                  <c:v>19.84018663940806</c:v>
                </c:pt>
                <c:pt idx="2">
                  <c:v>23.316783146665678</c:v>
                </c:pt>
                <c:pt idx="3">
                  <c:v>27.270578122081343</c:v>
                </c:pt>
                <c:pt idx="4">
                  <c:v>31.747785507471139</c:v>
                </c:pt>
                <c:pt idx="5">
                  <c:v>36.796944907005994</c:v>
                </c:pt>
                <c:pt idx="6">
                  <c:v>42.468875011151233</c:v>
                </c:pt>
                <c:pt idx="7">
                  <c:v>48.816620158175823</c:v>
                </c:pt>
                <c:pt idx="8">
                  <c:v>55.895391048507655</c:v>
                </c:pt>
                <c:pt idx="9">
                  <c:v>63.762500633423784</c:v>
                </c:pt>
                <c:pt idx="10">
                  <c:v>72.477296174549238</c:v>
                </c:pt>
                <c:pt idx="11">
                  <c:v>82.10108845540789</c:v>
                </c:pt>
                <c:pt idx="12">
                  <c:v>92.697079091358759</c:v>
                </c:pt>
                <c:pt idx="13">
                  <c:v>104.33028682919903</c:v>
                </c:pt>
                <c:pt idx="14">
                  <c:v>117.06747370178692</c:v>
                </c:pt>
                <c:pt idx="15">
                  <c:v>130.9770718324923</c:v>
                </c:pt>
                <c:pt idx="16">
                  <c:v>146.12911165341964</c:v>
                </c:pt>
                <c:pt idx="17">
                  <c:v>162.59515223329888</c:v>
                </c:pt>
                <c:pt idx="18">
                  <c:v>180.44821437978231</c:v>
                </c:pt>
                <c:pt idx="19">
                  <c:v>199.76271712740575</c:v>
                </c:pt>
                <c:pt idx="20">
                  <c:v>220.61441818173171</c:v>
                </c:pt>
                <c:pt idx="21">
                  <c:v>243.08035886476753</c:v>
                </c:pt>
                <c:pt idx="22">
                  <c:v>267.23881407518047</c:v>
                </c:pt>
                <c:pt idx="23">
                  <c:v>293.16924777318656</c:v>
                </c:pt>
                <c:pt idx="24">
                  <c:v>320.95227450959709</c:v>
                </c:pt>
                <c:pt idx="25">
                  <c:v>350.66962756803474</c:v>
                </c:pt>
                <c:pt idx="26">
                  <c:v>382.40413438813795</c:v>
                </c:pt>
                <c:pt idx="27">
                  <c:v>416.23970008716503</c:v>
                </c:pt>
                <c:pt idx="28">
                  <c:v>452.26130009517647</c:v>
                </c:pt>
                <c:pt idx="29">
                  <c:v>490.55498311955881</c:v>
                </c:pt>
                <c:pt idx="30">
                  <c:v>531.20788577168912</c:v>
                </c:pt>
                <c:pt idx="31">
                  <c:v>574.30826012423961</c:v>
                </c:pt>
                <c:pt idx="32">
                  <c:v>619.94551513797069</c:v>
                </c:pt>
                <c:pt idx="33">
                  <c:v>668.21027226297315</c:v>
                </c:pt>
                <c:pt idx="34">
                  <c:v>719.19443470108808</c:v>
                </c:pt>
                <c:pt idx="35">
                  <c:v>772.99126901924365</c:v>
                </c:pt>
                <c:pt idx="36">
                  <c:v>829.69549736642739</c:v>
                </c:pt>
                <c:pt idx="37">
                  <c:v>889.40339876369546</c:v>
                </c:pt>
                <c:pt idx="38">
                  <c:v>952.21291901707298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7-4253-933F-CCDD10C8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11264"/>
        <c:axId val="268211840"/>
      </c:scatterChart>
      <c:valAx>
        <c:axId val="268211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Enthalpy [kJ/kg]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68211840"/>
        <c:crossesAt val="0.1"/>
        <c:crossBetween val="midCat"/>
      </c:valAx>
      <c:valAx>
        <c:axId val="268211840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Pressure [kPa]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268211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3311023622047242"/>
          <c:y val="0.56155797832963195"/>
          <c:w val="0.2002230971128609"/>
          <c:h val="0.15455481526347667"/>
        </c:manualLayout>
      </c:layout>
      <c:overlay val="0"/>
      <c:spPr>
        <a:ln w="19050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Pressure</a:t>
            </a:r>
            <a:r>
              <a:rPr lang="en-US" baseline="0"/>
              <a:t>-Density Plot for Water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1511351706036747"/>
          <c:y val="0.1798186284406757"/>
          <c:w val="0.72038560804899388"/>
          <c:h val="0.6120546470152769"/>
        </c:manualLayout>
      </c:layout>
      <c:scatterChart>
        <c:scatterStyle val="lineMarker"/>
        <c:varyColors val="0"/>
        <c:ser>
          <c:idx val="0"/>
          <c:order val="0"/>
          <c:tx>
            <c:v>Sat. Liquid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'Water saturation table'!$E$7:$E$45</c:f>
              <c:numCache>
                <c:formatCode>0.000000</c:formatCode>
                <c:ptCount val="39"/>
                <c:pt idx="0">
                  <c:v>634.43810041627114</c:v>
                </c:pt>
                <c:pt idx="1">
                  <c:v>631.36252632781566</c:v>
                </c:pt>
                <c:pt idx="2">
                  <c:v>628.27104846804059</c:v>
                </c:pt>
                <c:pt idx="3">
                  <c:v>625.16296034787331</c:v>
                </c:pt>
                <c:pt idx="4">
                  <c:v>622.03752658510552</c:v>
                </c:pt>
                <c:pt idx="5">
                  <c:v>618.89398104561087</c:v>
                </c:pt>
                <c:pt idx="6">
                  <c:v>615.73152482985051</c:v>
                </c:pt>
                <c:pt idx="7">
                  <c:v>612.54932408845241</c:v>
                </c:pt>
                <c:pt idx="8">
                  <c:v>609.34650764901983</c:v>
                </c:pt>
                <c:pt idx="9">
                  <c:v>606.12216443437183</c:v>
                </c:pt>
                <c:pt idx="10">
                  <c:v>602.87534065014199</c:v>
                </c:pt>
                <c:pt idx="11">
                  <c:v>599.60503671699269</c:v>
                </c:pt>
                <c:pt idx="12">
                  <c:v>596.31020391965683</c:v>
                </c:pt>
                <c:pt idx="13">
                  <c:v>592.98974074136709</c:v>
                </c:pt>
                <c:pt idx="14">
                  <c:v>589.64248884807785</c:v>
                </c:pt>
                <c:pt idx="15">
                  <c:v>586.26722868198078</c:v>
                </c:pt>
                <c:pt idx="16">
                  <c:v>582.86267461809643</c:v>
                </c:pt>
                <c:pt idx="17">
                  <c:v>579.42746963103457</c:v>
                </c:pt>
                <c:pt idx="18">
                  <c:v>575.96017941115349</c:v>
                </c:pt>
                <c:pt idx="19">
                  <c:v>572.45928586010359</c:v>
                </c:pt>
                <c:pt idx="20">
                  <c:v>568.9231798848034</c:v>
                </c:pt>
                <c:pt idx="21">
                  <c:v>565.35015339597965</c:v>
                </c:pt>
                <c:pt idx="22">
                  <c:v>561.73839040200858</c:v>
                </c:pt>
                <c:pt idx="23">
                  <c:v>558.08595707048755</c:v>
                </c:pt>
                <c:pt idx="24">
                  <c:v>554.39079060802646</c:v>
                </c:pt>
                <c:pt idx="25">
                  <c:v>550.65068678246473</c:v>
                </c:pt>
                <c:pt idx="26">
                  <c:v>546.86328588003244</c:v>
                </c:pt>
                <c:pt idx="27">
                  <c:v>543.02605685169226</c:v>
                </c:pt>
                <c:pt idx="28">
                  <c:v>539.13627935628915</c:v>
                </c:pt>
                <c:pt idx="29">
                  <c:v>535.19102335106697</c:v>
                </c:pt>
                <c:pt idx="30">
                  <c:v>531.18712580938188</c:v>
                </c:pt>
                <c:pt idx="31">
                  <c:v>527.12116405688221</c:v>
                </c:pt>
                <c:pt idx="32">
                  <c:v>522.98942510501774</c:v>
                </c:pt>
                <c:pt idx="33">
                  <c:v>518.78787021616574</c:v>
                </c:pt>
                <c:pt idx="34">
                  <c:v>514.51209374646317</c:v>
                </c:pt>
                <c:pt idx="35">
                  <c:v>510.15727506463674</c:v>
                </c:pt>
                <c:pt idx="36">
                  <c:v>505.71812201634481</c:v>
                </c:pt>
                <c:pt idx="37">
                  <c:v>501.18880396513674</c:v>
                </c:pt>
                <c:pt idx="38">
                  <c:v>496.56287185652371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16.796939035387762</c:v>
                </c:pt>
                <c:pt idx="1">
                  <c:v>19.84018663940806</c:v>
                </c:pt>
                <c:pt idx="2">
                  <c:v>23.316783146665678</c:v>
                </c:pt>
                <c:pt idx="3">
                  <c:v>27.270578122081343</c:v>
                </c:pt>
                <c:pt idx="4">
                  <c:v>31.747785507471139</c:v>
                </c:pt>
                <c:pt idx="5">
                  <c:v>36.796944907005994</c:v>
                </c:pt>
                <c:pt idx="6">
                  <c:v>42.468875011151233</c:v>
                </c:pt>
                <c:pt idx="7">
                  <c:v>48.816620158175823</c:v>
                </c:pt>
                <c:pt idx="8">
                  <c:v>55.895391048507655</c:v>
                </c:pt>
                <c:pt idx="9">
                  <c:v>63.762500633423784</c:v>
                </c:pt>
                <c:pt idx="10">
                  <c:v>72.477296174549238</c:v>
                </c:pt>
                <c:pt idx="11">
                  <c:v>82.10108845540789</c:v>
                </c:pt>
                <c:pt idx="12">
                  <c:v>92.697079091358759</c:v>
                </c:pt>
                <c:pt idx="13">
                  <c:v>104.33028682919903</c:v>
                </c:pt>
                <c:pt idx="14">
                  <c:v>117.06747370178692</c:v>
                </c:pt>
                <c:pt idx="15">
                  <c:v>130.9770718324923</c:v>
                </c:pt>
                <c:pt idx="16">
                  <c:v>146.12911165341964</c:v>
                </c:pt>
                <c:pt idx="17">
                  <c:v>162.59515223329888</c:v>
                </c:pt>
                <c:pt idx="18">
                  <c:v>180.44821437978231</c:v>
                </c:pt>
                <c:pt idx="19">
                  <c:v>199.76271712740575</c:v>
                </c:pt>
                <c:pt idx="20">
                  <c:v>220.61441818173171</c:v>
                </c:pt>
                <c:pt idx="21">
                  <c:v>243.08035886476753</c:v>
                </c:pt>
                <c:pt idx="22">
                  <c:v>267.23881407518047</c:v>
                </c:pt>
                <c:pt idx="23">
                  <c:v>293.16924777318656</c:v>
                </c:pt>
                <c:pt idx="24">
                  <c:v>320.95227450959709</c:v>
                </c:pt>
                <c:pt idx="25">
                  <c:v>350.66962756803474</c:v>
                </c:pt>
                <c:pt idx="26">
                  <c:v>382.40413438813795</c:v>
                </c:pt>
                <c:pt idx="27">
                  <c:v>416.23970008716503</c:v>
                </c:pt>
                <c:pt idx="28">
                  <c:v>452.26130009517647</c:v>
                </c:pt>
                <c:pt idx="29">
                  <c:v>490.55498311955881</c:v>
                </c:pt>
                <c:pt idx="30">
                  <c:v>531.20788577168912</c:v>
                </c:pt>
                <c:pt idx="31">
                  <c:v>574.30826012423961</c:v>
                </c:pt>
                <c:pt idx="32">
                  <c:v>619.94551513797069</c:v>
                </c:pt>
                <c:pt idx="33">
                  <c:v>668.21027226297315</c:v>
                </c:pt>
                <c:pt idx="34">
                  <c:v>719.19443470108808</c:v>
                </c:pt>
                <c:pt idx="35">
                  <c:v>772.99126901924365</c:v>
                </c:pt>
                <c:pt idx="36">
                  <c:v>829.69549736642739</c:v>
                </c:pt>
                <c:pt idx="37">
                  <c:v>889.40339876369546</c:v>
                </c:pt>
                <c:pt idx="38">
                  <c:v>952.21291901707298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5-4EA3-9432-9D9015E133E6}"/>
            </c:ext>
          </c:extLst>
        </c:ser>
        <c:ser>
          <c:idx val="1"/>
          <c:order val="1"/>
          <c:tx>
            <c:v>Sat. Vapor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'Water saturation table'!$F$7:$F$45</c:f>
              <c:numCache>
                <c:formatCode>0.000000</c:formatCode>
                <c:ptCount val="39"/>
                <c:pt idx="0">
                  <c:v>0.53214473629055203</c:v>
                </c:pt>
                <c:pt idx="1">
                  <c:v>0.6211438335454027</c:v>
                </c:pt>
                <c:pt idx="2">
                  <c:v>0.7216023897782945</c:v>
                </c:pt>
                <c:pt idx="3">
                  <c:v>0.83453305568554548</c:v>
                </c:pt>
                <c:pt idx="4">
                  <c:v>0.96099333842001611</c:v>
                </c:pt>
                <c:pt idx="5">
                  <c:v>1.1020854289871023</c:v>
                </c:pt>
                <c:pt idx="6">
                  <c:v>1.2589561791547594</c:v>
                </c:pt>
                <c:pt idx="7">
                  <c:v>1.4327972636854345</c:v>
                </c:pt>
                <c:pt idx="8">
                  <c:v>1.6248455627293985</c:v>
                </c:pt>
                <c:pt idx="9">
                  <c:v>1.836383798500091</c:v>
                </c:pt>
                <c:pt idx="10">
                  <c:v>2.0687414599973826</c:v>
                </c:pt>
                <c:pt idx="11">
                  <c:v>2.323296049666562</c:v>
                </c:pt>
                <c:pt idx="12">
                  <c:v>2.6014746865769998</c:v>
                </c:pt>
                <c:pt idx="13">
                  <c:v>2.9047561020826973</c:v>
                </c:pt>
                <c:pt idx="14">
                  <c:v>3.2346730660837317</c:v>
                </c:pt>
                <c:pt idx="15">
                  <c:v>3.5928152850563086</c:v>
                </c:pt>
                <c:pt idx="16">
                  <c:v>3.9808328170798544</c:v>
                </c:pt>
                <c:pt idx="17">
                  <c:v>4.4004400543016855</c:v>
                </c:pt>
                <c:pt idx="18">
                  <c:v>4.8534203298131828</c:v>
                </c:pt>
                <c:pt idx="19">
                  <c:v>5.3416312139706124</c:v>
                </c:pt>
                <c:pt idx="20">
                  <c:v>5.8670105750476935</c:v>
                </c:pt>
                <c:pt idx="21">
                  <c:v>6.4315834911234901</c:v>
                </c:pt>
                <c:pt idx="22">
                  <c:v>7.0374701148306249</c:v>
                </c:pt>
                <c:pt idx="23">
                  <c:v>7.6868946108629572</c:v>
                </c:pt>
                <c:pt idx="24">
                  <c:v>8.3821953093001511</c:v>
                </c:pt>
                <c:pt idx="25">
                  <c:v>9.125836247830529</c:v>
                </c:pt>
                <c:pt idx="26">
                  <c:v>9.9204203155190989</c:v>
                </c:pt>
                <c:pt idx="27">
                  <c:v>10.768704262872156</c:v>
                </c:pt>
                <c:pt idx="28">
                  <c:v>11.673615910055652</c:v>
                </c:pt>
                <c:pt idx="29">
                  <c:v>12.638273967795801</c:v>
                </c:pt>
                <c:pt idx="30">
                  <c:v>13.666010981084751</c:v>
                </c:pt>
                <c:pt idx="31">
                  <c:v>14.760400008252077</c:v>
                </c:pt>
                <c:pt idx="32">
                  <c:v>15.92528574949001</c:v>
                </c:pt>
                <c:pt idx="33">
                  <c:v>17.164820934457246</c:v>
                </c:pt>
                <c:pt idx="34">
                  <c:v>18.483508871786118</c:v>
                </c:pt>
                <c:pt idx="35">
                  <c:v>19.886253172470091</c:v>
                </c:pt>
                <c:pt idx="36">
                  <c:v>21.378415819931863</c:v>
                </c:pt>
                <c:pt idx="37">
                  <c:v>22.965885024645619</c:v>
                </c:pt>
                <c:pt idx="38">
                  <c:v>24.65515473269285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16.796939035387762</c:v>
                </c:pt>
                <c:pt idx="1">
                  <c:v>19.84018663940806</c:v>
                </c:pt>
                <c:pt idx="2">
                  <c:v>23.316783146665678</c:v>
                </c:pt>
                <c:pt idx="3">
                  <c:v>27.270578122081343</c:v>
                </c:pt>
                <c:pt idx="4">
                  <c:v>31.747785507471139</c:v>
                </c:pt>
                <c:pt idx="5">
                  <c:v>36.796944907005994</c:v>
                </c:pt>
                <c:pt idx="6">
                  <c:v>42.468875011151233</c:v>
                </c:pt>
                <c:pt idx="7">
                  <c:v>48.816620158175823</c:v>
                </c:pt>
                <c:pt idx="8">
                  <c:v>55.895391048507655</c:v>
                </c:pt>
                <c:pt idx="9">
                  <c:v>63.762500633423784</c:v>
                </c:pt>
                <c:pt idx="10">
                  <c:v>72.477296174549238</c:v>
                </c:pt>
                <c:pt idx="11">
                  <c:v>82.10108845540789</c:v>
                </c:pt>
                <c:pt idx="12">
                  <c:v>92.697079091358759</c:v>
                </c:pt>
                <c:pt idx="13">
                  <c:v>104.33028682919903</c:v>
                </c:pt>
                <c:pt idx="14">
                  <c:v>117.06747370178692</c:v>
                </c:pt>
                <c:pt idx="15">
                  <c:v>130.9770718324923</c:v>
                </c:pt>
                <c:pt idx="16">
                  <c:v>146.12911165341964</c:v>
                </c:pt>
                <c:pt idx="17">
                  <c:v>162.59515223329888</c:v>
                </c:pt>
                <c:pt idx="18">
                  <c:v>180.44821437978231</c:v>
                </c:pt>
                <c:pt idx="19">
                  <c:v>199.76271712740575</c:v>
                </c:pt>
                <c:pt idx="20">
                  <c:v>220.61441818173171</c:v>
                </c:pt>
                <c:pt idx="21">
                  <c:v>243.08035886476753</c:v>
                </c:pt>
                <c:pt idx="22">
                  <c:v>267.23881407518047</c:v>
                </c:pt>
                <c:pt idx="23">
                  <c:v>293.16924777318656</c:v>
                </c:pt>
                <c:pt idx="24">
                  <c:v>320.95227450959709</c:v>
                </c:pt>
                <c:pt idx="25">
                  <c:v>350.66962756803474</c:v>
                </c:pt>
                <c:pt idx="26">
                  <c:v>382.40413438813795</c:v>
                </c:pt>
                <c:pt idx="27">
                  <c:v>416.23970008716503</c:v>
                </c:pt>
                <c:pt idx="28">
                  <c:v>452.26130009517647</c:v>
                </c:pt>
                <c:pt idx="29">
                  <c:v>490.55498311955881</c:v>
                </c:pt>
                <c:pt idx="30">
                  <c:v>531.20788577168912</c:v>
                </c:pt>
                <c:pt idx="31">
                  <c:v>574.30826012423961</c:v>
                </c:pt>
                <c:pt idx="32">
                  <c:v>619.94551513797069</c:v>
                </c:pt>
                <c:pt idx="33">
                  <c:v>668.21027226297315</c:v>
                </c:pt>
                <c:pt idx="34">
                  <c:v>719.19443470108808</c:v>
                </c:pt>
                <c:pt idx="35">
                  <c:v>772.99126901924365</c:v>
                </c:pt>
                <c:pt idx="36">
                  <c:v>829.69549736642739</c:v>
                </c:pt>
                <c:pt idx="37">
                  <c:v>889.40339876369546</c:v>
                </c:pt>
                <c:pt idx="38">
                  <c:v>952.21291901707298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5-4EA3-9432-9D9015E13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13568"/>
        <c:axId val="276922368"/>
      </c:scatterChart>
      <c:valAx>
        <c:axId val="26821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Density [kg/m³]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76922368"/>
        <c:crossesAt val="0.1"/>
        <c:crossBetween val="midCat"/>
      </c:valAx>
      <c:valAx>
        <c:axId val="276922368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Pressure [kPa]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2682135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7477690288713913"/>
          <c:y val="0.55301096978262332"/>
          <c:w val="0.2002230971128609"/>
          <c:h val="0.15455481526347667"/>
        </c:manualLayout>
      </c:layout>
      <c:overlay val="0"/>
      <c:spPr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Water Saturation Curve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Saturation Pressure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'Water saturation table'!$C$7:$C$45</c:f>
              <c:numCache>
                <c:formatCode>0.00</c:formatCode>
                <c:ptCount val="39"/>
                <c:pt idx="0">
                  <c:v>223.14999999999998</c:v>
                </c:pt>
                <c:pt idx="1">
                  <c:v>226.14999999999998</c:v>
                </c:pt>
                <c:pt idx="2">
                  <c:v>229.14999999999998</c:v>
                </c:pt>
                <c:pt idx="3">
                  <c:v>232.14999999999998</c:v>
                </c:pt>
                <c:pt idx="4">
                  <c:v>235.14999999999998</c:v>
                </c:pt>
                <c:pt idx="5">
                  <c:v>238.14999999999998</c:v>
                </c:pt>
                <c:pt idx="6">
                  <c:v>241.14999999999998</c:v>
                </c:pt>
                <c:pt idx="7">
                  <c:v>244.14999999999998</c:v>
                </c:pt>
                <c:pt idx="8">
                  <c:v>247.14999999999998</c:v>
                </c:pt>
                <c:pt idx="9">
                  <c:v>250.14999999999998</c:v>
                </c:pt>
                <c:pt idx="10">
                  <c:v>253.14999999999998</c:v>
                </c:pt>
                <c:pt idx="11">
                  <c:v>256.14999999999998</c:v>
                </c:pt>
                <c:pt idx="12">
                  <c:v>259.14999999999998</c:v>
                </c:pt>
                <c:pt idx="13">
                  <c:v>262.14999999999998</c:v>
                </c:pt>
                <c:pt idx="14">
                  <c:v>265.14999999999998</c:v>
                </c:pt>
                <c:pt idx="15">
                  <c:v>268.14999999999998</c:v>
                </c:pt>
                <c:pt idx="16">
                  <c:v>271.14999999999998</c:v>
                </c:pt>
                <c:pt idx="17">
                  <c:v>274.14999999999998</c:v>
                </c:pt>
                <c:pt idx="18">
                  <c:v>277.14999999999998</c:v>
                </c:pt>
                <c:pt idx="19">
                  <c:v>280.14999999999998</c:v>
                </c:pt>
                <c:pt idx="20">
                  <c:v>283.14999999999998</c:v>
                </c:pt>
                <c:pt idx="21">
                  <c:v>286.14999999999998</c:v>
                </c:pt>
                <c:pt idx="22">
                  <c:v>289.14999999999998</c:v>
                </c:pt>
                <c:pt idx="23">
                  <c:v>292.14999999999998</c:v>
                </c:pt>
                <c:pt idx="24">
                  <c:v>295.14999999999998</c:v>
                </c:pt>
                <c:pt idx="25">
                  <c:v>298.14999999999998</c:v>
                </c:pt>
                <c:pt idx="26">
                  <c:v>301.14999999999998</c:v>
                </c:pt>
                <c:pt idx="27">
                  <c:v>304.14999999999998</c:v>
                </c:pt>
                <c:pt idx="28">
                  <c:v>307.14999999999998</c:v>
                </c:pt>
                <c:pt idx="29">
                  <c:v>310.14999999999998</c:v>
                </c:pt>
                <c:pt idx="30">
                  <c:v>313.14999999999998</c:v>
                </c:pt>
                <c:pt idx="31">
                  <c:v>316.14999999999998</c:v>
                </c:pt>
                <c:pt idx="32">
                  <c:v>319.14999999999998</c:v>
                </c:pt>
                <c:pt idx="33">
                  <c:v>322.14999999999998</c:v>
                </c:pt>
                <c:pt idx="34">
                  <c:v>325.14999999999998</c:v>
                </c:pt>
                <c:pt idx="35">
                  <c:v>328.15</c:v>
                </c:pt>
                <c:pt idx="36">
                  <c:v>331.15</c:v>
                </c:pt>
                <c:pt idx="37">
                  <c:v>334.15</c:v>
                </c:pt>
                <c:pt idx="38">
                  <c:v>337.15</c:v>
                </c:pt>
              </c:numCache>
            </c:numRef>
          </c:xVal>
          <c:yVal>
            <c:numRef>
              <c:f>'Water saturation table'!$D$7:$D$45</c:f>
              <c:numCache>
                <c:formatCode>0.000000</c:formatCode>
                <c:ptCount val="39"/>
                <c:pt idx="0">
                  <c:v>16.796939035387762</c:v>
                </c:pt>
                <c:pt idx="1">
                  <c:v>19.84018663940806</c:v>
                </c:pt>
                <c:pt idx="2">
                  <c:v>23.316783146665678</c:v>
                </c:pt>
                <c:pt idx="3">
                  <c:v>27.270578122081343</c:v>
                </c:pt>
                <c:pt idx="4">
                  <c:v>31.747785507471139</c:v>
                </c:pt>
                <c:pt idx="5">
                  <c:v>36.796944907005994</c:v>
                </c:pt>
                <c:pt idx="6">
                  <c:v>42.468875011151233</c:v>
                </c:pt>
                <c:pt idx="7">
                  <c:v>48.816620158175823</c:v>
                </c:pt>
                <c:pt idx="8">
                  <c:v>55.895391048507655</c:v>
                </c:pt>
                <c:pt idx="9">
                  <c:v>63.762500633423784</c:v>
                </c:pt>
                <c:pt idx="10">
                  <c:v>72.477296174549238</c:v>
                </c:pt>
                <c:pt idx="11">
                  <c:v>82.10108845540789</c:v>
                </c:pt>
                <c:pt idx="12">
                  <c:v>92.697079091358759</c:v>
                </c:pt>
                <c:pt idx="13">
                  <c:v>104.33028682919903</c:v>
                </c:pt>
                <c:pt idx="14">
                  <c:v>117.06747370178692</c:v>
                </c:pt>
                <c:pt idx="15">
                  <c:v>130.9770718324923</c:v>
                </c:pt>
                <c:pt idx="16">
                  <c:v>146.12911165341964</c:v>
                </c:pt>
                <c:pt idx="17">
                  <c:v>162.59515223329888</c:v>
                </c:pt>
                <c:pt idx="18">
                  <c:v>180.44821437978231</c:v>
                </c:pt>
                <c:pt idx="19">
                  <c:v>199.76271712740575</c:v>
                </c:pt>
                <c:pt idx="20">
                  <c:v>220.61441818173171</c:v>
                </c:pt>
                <c:pt idx="21">
                  <c:v>243.08035886476753</c:v>
                </c:pt>
                <c:pt idx="22">
                  <c:v>267.23881407518047</c:v>
                </c:pt>
                <c:pt idx="23">
                  <c:v>293.16924777318656</c:v>
                </c:pt>
                <c:pt idx="24">
                  <c:v>320.95227450959709</c:v>
                </c:pt>
                <c:pt idx="25">
                  <c:v>350.66962756803474</c:v>
                </c:pt>
                <c:pt idx="26">
                  <c:v>382.40413438813795</c:v>
                </c:pt>
                <c:pt idx="27">
                  <c:v>416.23970008716503</c:v>
                </c:pt>
                <c:pt idx="28">
                  <c:v>452.26130009517647</c:v>
                </c:pt>
                <c:pt idx="29">
                  <c:v>490.55498311955881</c:v>
                </c:pt>
                <c:pt idx="30">
                  <c:v>531.20788577168912</c:v>
                </c:pt>
                <c:pt idx="31">
                  <c:v>574.30826012423961</c:v>
                </c:pt>
                <c:pt idx="32">
                  <c:v>619.94551513797069</c:v>
                </c:pt>
                <c:pt idx="33">
                  <c:v>668.21027226297315</c:v>
                </c:pt>
                <c:pt idx="34">
                  <c:v>719.19443470108808</c:v>
                </c:pt>
                <c:pt idx="35">
                  <c:v>772.99126901924365</c:v>
                </c:pt>
                <c:pt idx="36">
                  <c:v>829.69549736642739</c:v>
                </c:pt>
                <c:pt idx="37">
                  <c:v>889.40339876369546</c:v>
                </c:pt>
                <c:pt idx="38">
                  <c:v>952.21291901707298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6-4754-9989-56685E4A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924096"/>
        <c:axId val="276924672"/>
      </c:scatterChart>
      <c:valAx>
        <c:axId val="276924096"/>
        <c:scaling>
          <c:orientation val="minMax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Temperature [K]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76924672"/>
        <c:crossesAt val="0.1"/>
        <c:crossBetween val="midCat"/>
      </c:valAx>
      <c:valAx>
        <c:axId val="276924672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Pressure [kPa]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276924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339090</xdr:colOff>
      <xdr:row>32</xdr:row>
      <xdr:rowOff>1905</xdr:rowOff>
    </xdr:from>
    <xdr:to>
      <xdr:col>18</xdr:col>
      <xdr:colOff>3810</xdr:colOff>
      <xdr:row>47</xdr:row>
      <xdr:rowOff>89535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404D2-6449-478E-85F8-631AEC34C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15</xdr:row>
      <xdr:rowOff>175260</xdr:rowOff>
    </xdr:from>
    <xdr:to>
      <xdr:col>18</xdr:col>
      <xdr:colOff>7620</xdr:colOff>
      <xdr:row>31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B75994-E0AC-4F5F-BB69-A93FFCD8C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304800</xdr:colOff>
      <xdr:row>0</xdr:row>
      <xdr:rowOff>3810</xdr:rowOff>
    </xdr:from>
    <xdr:to>
      <xdr:col>17</xdr:col>
      <xdr:colOff>609600</xdr:colOff>
      <xdr:row>15</xdr:row>
      <xdr:rowOff>13335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BEF954-6C93-471E-9F70-E8C497163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Desktop\TestExcel.xlsx" TargetMode="External"/><Relationship Id="rId1" Type="http://schemas.openxmlformats.org/officeDocument/2006/relationships/externalLinkPath" Target="file:///C:\Users\wille\Desktop\Test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AppData\Roaming\Microsoft\AddIns\CoolProp.xlam" TargetMode="External"/><Relationship Id="rId1" Type="http://schemas.openxmlformats.org/officeDocument/2006/relationships/externalLinkPath" Target="file:///C:\Users\wille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allation"/>
      <sheetName val="Sample Calcs"/>
      <sheetName val="Refrigerant Boiling Points"/>
      <sheetName val="Rankine Cycle Calculations"/>
      <sheetName val="Water saturation table"/>
      <sheetName val="Property Calculator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C7">
            <v>273.16000009999999</v>
          </cell>
          <cell r="D7">
            <v>0.61165472507254326</v>
          </cell>
          <cell r="E7">
            <v>999.79252003838542</v>
          </cell>
          <cell r="F7">
            <v>4.8545757582902438E-3</v>
          </cell>
          <cell r="G7">
            <v>6.1220360638336406E-4</v>
          </cell>
          <cell r="H7">
            <v>2500.9151916490414</v>
          </cell>
        </row>
        <row r="8">
          <cell r="C8">
            <v>283.14999999999998</v>
          </cell>
          <cell r="D8">
            <v>1.2281989186903675</v>
          </cell>
          <cell r="E8">
            <v>999.65462464159714</v>
          </cell>
          <cell r="F8">
            <v>9.4070520080231819E-3</v>
          </cell>
          <cell r="G8">
            <v>42.021255884836407</v>
          </cell>
          <cell r="H8">
            <v>2519.2083189072159</v>
          </cell>
        </row>
        <row r="9">
          <cell r="C9">
            <v>293.14999999999998</v>
          </cell>
          <cell r="D9">
            <v>2.3393181882699037</v>
          </cell>
          <cell r="E9">
            <v>998.16180134316232</v>
          </cell>
          <cell r="F9">
            <v>1.7314008205457605E-2</v>
          </cell>
          <cell r="G9">
            <v>83.914144952818091</v>
          </cell>
          <cell r="H9">
            <v>2537.433404372583</v>
          </cell>
        </row>
        <row r="10">
          <cell r="C10">
            <v>303.14999999999998</v>
          </cell>
          <cell r="D10">
            <v>4.246970839891719</v>
          </cell>
          <cell r="E10">
            <v>995.60617747384913</v>
          </cell>
          <cell r="F10">
            <v>3.0415211808982757E-2</v>
          </cell>
          <cell r="G10">
            <v>125.73397341919228</v>
          </cell>
          <cell r="H10">
            <v>2555.5452032947651</v>
          </cell>
        </row>
        <row r="11">
          <cell r="C11">
            <v>313.14999999999998</v>
          </cell>
          <cell r="D11">
            <v>7.3849380448820821</v>
          </cell>
          <cell r="E11">
            <v>992.17511534127698</v>
          </cell>
          <cell r="F11">
            <v>5.124225580168873E-2</v>
          </cell>
          <cell r="G11">
            <v>167.53303558717388</v>
          </cell>
          <cell r="H11">
            <v>2573.5103223740025</v>
          </cell>
        </row>
        <row r="12">
          <cell r="C12">
            <v>323.14999999999998</v>
          </cell>
          <cell r="D12">
            <v>12.351945832682558</v>
          </cell>
          <cell r="E12">
            <v>987.99621061116898</v>
          </cell>
          <cell r="F12">
            <v>8.3146842800445958E-2</v>
          </cell>
          <cell r="G12">
            <v>209.34176132667645</v>
          </cell>
          <cell r="H12">
            <v>2591.288887867202</v>
          </cell>
        </row>
        <row r="13">
          <cell r="C13">
            <v>333.15</v>
          </cell>
          <cell r="D13">
            <v>19.946434310682807</v>
          </cell>
          <cell r="E13">
            <v>983.16021717833348</v>
          </cell>
          <cell r="F13">
            <v>0.13042522259659892</v>
          </cell>
          <cell r="G13">
            <v>251.18035191397209</v>
          </cell>
          <cell r="H13">
            <v>2608.8348722177275</v>
          </cell>
        </row>
        <row r="14">
          <cell r="C14">
            <v>343.15</v>
          </cell>
          <cell r="D14">
            <v>31.200930025108303</v>
          </cell>
          <cell r="E14">
            <v>977.73365598192891</v>
          </cell>
          <cell r="F14">
            <v>0.1984307379418265</v>
          </cell>
          <cell r="G14">
            <v>293.06519282229465</v>
          </cell>
          <cell r="H14">
            <v>2626.0964008315309</v>
          </cell>
        </row>
        <row r="15">
          <cell r="C15">
            <v>353.15</v>
          </cell>
          <cell r="D15">
            <v>47.414474028971249</v>
          </cell>
          <cell r="E15">
            <v>971.76621871051327</v>
          </cell>
          <cell r="F15">
            <v>0.29367213474310316</v>
          </cell>
          <cell r="G15">
            <v>335.01235325255703</v>
          </cell>
          <cell r="H15">
            <v>2643.0158813452144</v>
          </cell>
        </row>
        <row r="16">
          <cell r="C16">
            <v>363.15</v>
          </cell>
          <cell r="D16">
            <v>70.181765812287622</v>
          </cell>
          <cell r="E16">
            <v>965.29532855043556</v>
          </cell>
          <cell r="F16">
            <v>0.4238979446321115</v>
          </cell>
          <cell r="G16">
            <v>377.03938647775328</v>
          </cell>
          <cell r="H16">
            <v>2659.5300141957373</v>
          </cell>
        </row>
        <row r="17">
          <cell r="C17">
            <v>373.15</v>
          </cell>
          <cell r="D17">
            <v>101.41799665682765</v>
          </cell>
          <cell r="E17">
            <v>958.34905160485675</v>
          </cell>
          <cell r="F17">
            <v>0.59816979192617503</v>
          </cell>
          <cell r="G17">
            <v>419.16616289288692</v>
          </cell>
          <cell r="H17">
            <v>2675.5698844194585</v>
          </cell>
        </row>
        <row r="18">
          <cell r="C18">
            <v>383.15</v>
          </cell>
          <cell r="D18">
            <v>143.37871294487454</v>
          </cell>
          <cell r="E18">
            <v>950.9480035889602</v>
          </cell>
          <cell r="F18">
            <v>0.82692959572358449</v>
          </cell>
          <cell r="G18">
            <v>461.41518953432035</v>
          </cell>
          <cell r="H18">
            <v>2691.0613426859568</v>
          </cell>
        </row>
        <row r="19">
          <cell r="C19">
            <v>393.15</v>
          </cell>
          <cell r="D19">
            <v>198.67442047541007</v>
          </cell>
          <cell r="E19">
            <v>943.10661743025275</v>
          </cell>
          <cell r="F19">
            <v>1.12206719176453</v>
          </cell>
          <cell r="G19">
            <v>503.81169242146495</v>
          </cell>
          <cell r="H19">
            <v>2705.925765793183</v>
          </cell>
        </row>
        <row r="20">
          <cell r="C20">
            <v>403.15</v>
          </cell>
          <cell r="D20">
            <v>270.27997679068989</v>
          </cell>
          <cell r="E20">
            <v>934.83398660708178</v>
          </cell>
          <cell r="F20">
            <v>1.4969959714829069</v>
          </cell>
          <cell r="G20">
            <v>546.38362438115507</v>
          </cell>
          <cell r="H20">
            <v>2720.0811051450492</v>
          </cell>
        </row>
        <row r="21">
          <cell r="C21">
            <v>413.15</v>
          </cell>
          <cell r="D21">
            <v>361.53909939878633</v>
          </cell>
          <cell r="E21">
            <v>926.13441329112368</v>
          </cell>
          <cell r="F21">
            <v>1.966745004512632</v>
          </cell>
          <cell r="G21">
            <v>589.16169048823315</v>
          </cell>
          <cell r="H21">
            <v>2733.4429731737537</v>
          </cell>
        </row>
        <row r="22">
          <cell r="C22">
            <v>423.15</v>
          </cell>
          <cell r="D22">
            <v>476.16453796900316</v>
          </cell>
          <cell r="E22">
            <v>917.00773926892646</v>
          </cell>
          <cell r="F22">
            <v>2.5480771470967247</v>
          </cell>
          <cell r="G22">
            <v>632.17944178057064</v>
          </cell>
          <cell r="H22">
            <v>2745.9254514300696</v>
          </cell>
        </row>
        <row r="23">
          <cell r="C23">
            <v>433.15</v>
          </cell>
          <cell r="D23">
            <v>618.23462142924154</v>
          </cell>
          <cell r="E23">
            <v>907.44950563407667</v>
          </cell>
          <cell r="F23">
            <v>3.2596441977624062</v>
          </cell>
          <cell r="G23">
            <v>675.47346558322977</v>
          </cell>
          <cell r="H23">
            <v>2757.4413489920958</v>
          </cell>
        </row>
        <row r="24">
          <cell r="C24">
            <v>443.15</v>
          </cell>
          <cell r="D24">
            <v>792.18700698009991</v>
          </cell>
          <cell r="E24">
            <v>897.45096587597152</v>
          </cell>
          <cell r="F24">
            <v>4.1221925343385388</v>
          </cell>
          <cell r="G24">
            <v>719.0836909629528</v>
          </cell>
          <cell r="H24">
            <v>2767.9017622614256</v>
          </cell>
        </row>
        <row r="25">
          <cell r="C25">
            <v>453.15</v>
          </cell>
          <cell r="D25">
            <v>1002.8105360799185</v>
          </cell>
          <cell r="E25">
            <v>886.99896128082264</v>
          </cell>
          <cell r="F25">
            <v>5.1588361289208073</v>
          </cell>
          <cell r="G25">
            <v>763.05382639583058</v>
          </cell>
          <cell r="H25">
            <v>2777.2149260215888</v>
          </cell>
        </row>
        <row r="26">
          <cell r="C26">
            <v>463.15</v>
          </cell>
          <cell r="D26">
            <v>1255.236155158148</v>
          </cell>
          <cell r="E26">
            <v>876.07565429885494</v>
          </cell>
          <cell r="F26">
            <v>6.3954187812093135</v>
          </cell>
          <cell r="G26">
            <v>807.43195145024936</v>
          </cell>
          <cell r="H26">
            <v>2785.2844447620296</v>
          </cell>
        </row>
        <row r="27">
          <cell r="C27">
            <v>473.15</v>
          </cell>
          <cell r="D27">
            <v>1554.9279004687048</v>
          </cell>
          <cell r="E27">
            <v>864.65810228712621</v>
          </cell>
          <cell r="F27">
            <v>7.8609945167844684</v>
          </cell>
          <cell r="G27">
            <v>852.27129446018341</v>
          </cell>
          <cell r="H27">
            <v>2792.0070226267235</v>
          </cell>
        </row>
        <row r="28">
          <cell r="C28">
            <v>483.15</v>
          </cell>
          <cell r="D28">
            <v>1907.674993532605</v>
          </cell>
          <cell r="E28">
            <v>852.71763851005767</v>
          </cell>
          <cell r="F28">
            <v>9.5884655414268192</v>
          </cell>
          <cell r="G28">
            <v>897.63124444416496</v>
          </cell>
          <cell r="H28">
            <v>2797.2697683428009</v>
          </cell>
        </row>
        <row r="29">
          <cell r="C29">
            <v>493.15</v>
          </cell>
          <cell r="D29">
            <v>2319.5861702585194</v>
          </cell>
          <cell r="E29">
            <v>840.21900675010772</v>
          </cell>
          <cell r="F29">
            <v>11.615432874295115</v>
          </cell>
          <cell r="G29">
            <v>943.57867004224283</v>
          </cell>
          <cell r="H29">
            <v>2800.9470527725607</v>
          </cell>
        </row>
        <row r="30">
          <cell r="C30">
            <v>503.15</v>
          </cell>
          <cell r="D30">
            <v>2797.087496929787</v>
          </cell>
          <cell r="E30">
            <v>827.11916655179982</v>
          </cell>
          <cell r="F30">
            <v>13.985338957508464</v>
          </cell>
          <cell r="G30">
            <v>990.18965507747521</v>
          </cell>
          <cell r="H30">
            <v>2802.8967584010438</v>
          </cell>
        </row>
        <row r="31">
          <cell r="C31">
            <v>513.15</v>
          </cell>
          <cell r="D31">
            <v>3346.9251442702057</v>
          </cell>
          <cell r="E31">
            <v>813.36564216910097</v>
          </cell>
          <cell r="F31">
            <v>16.749019301603241</v>
          </cell>
          <cell r="G31">
            <v>1037.5518165790288</v>
          </cell>
          <cell r="H31">
            <v>2802.9556046252342</v>
          </cell>
        </row>
        <row r="32">
          <cell r="C32">
            <v>523.15</v>
          </cell>
          <cell r="D32">
            <v>3976.1749306515494</v>
          </cell>
          <cell r="E32">
            <v>798.89422022042197</v>
          </cell>
          <cell r="F32">
            <v>19.966840438464825</v>
          </cell>
          <cell r="G32">
            <v>1085.7674588110478</v>
          </cell>
          <cell r="H32">
            <v>2800.9330729758303</v>
          </cell>
        </row>
        <row r="33">
          <cell r="C33">
            <v>533.15</v>
          </cell>
          <cell r="D33">
            <v>4692.260992299739</v>
          </cell>
          <cell r="E33">
            <v>783.62569286973451</v>
          </cell>
          <cell r="F33">
            <v>23.711700367712179</v>
          </cell>
          <cell r="G33">
            <v>1134.9579569891282</v>
          </cell>
          <cell r="H33">
            <v>2796.6032203853524</v>
          </cell>
        </row>
        <row r="34">
          <cell r="C34">
            <v>543.15</v>
          </cell>
          <cell r="D34">
            <v>5502.9867830140456</v>
          </cell>
          <cell r="E34">
            <v>767.46116679898012</v>
          </cell>
          <cell r="F34">
            <v>28.073335624424541</v>
          </cell>
          <cell r="G34">
            <v>1185.2699943566131</v>
          </cell>
          <cell r="H34">
            <v>2789.6932193000089</v>
          </cell>
        </row>
        <row r="35">
          <cell r="C35">
            <v>553.15</v>
          </cell>
          <cell r="D35">
            <v>6416.5829095319377</v>
          </cell>
          <cell r="E35">
            <v>750.2751612998818</v>
          </cell>
          <cell r="F35">
            <v>33.164674054045939</v>
          </cell>
          <cell r="G35">
            <v>1236.8846659592693</v>
          </cell>
          <cell r="H35">
            <v>2779.8667305294525</v>
          </cell>
        </row>
        <row r="36">
          <cell r="C36">
            <v>563.15</v>
          </cell>
          <cell r="D36">
            <v>7441.7783444204633</v>
          </cell>
          <cell r="E36">
            <v>731.90519964368571</v>
          </cell>
          <cell r="F36">
            <v>39.131512960158432</v>
          </cell>
          <cell r="G36">
            <v>1290.0311497479663</v>
          </cell>
          <cell r="H36">
            <v>2766.6990506391348</v>
          </cell>
        </row>
        <row r="37">
          <cell r="C37">
            <v>573.15</v>
          </cell>
          <cell r="D37">
            <v>8587.9049408359151</v>
          </cell>
          <cell r="E37">
            <v>712.13563881961761</v>
          </cell>
          <cell r="F37">
            <v>46.167849523793478</v>
          </cell>
          <cell r="G37">
            <v>1345.0079264161152</v>
          </cell>
          <cell r="H37">
            <v>2749.6387614002551</v>
          </cell>
        </row>
        <row r="38">
          <cell r="C38">
            <v>583.15</v>
          </cell>
          <cell r="D38">
            <v>9865.051211181737</v>
          </cell>
          <cell r="E38">
            <v>690.671545609845</v>
          </cell>
          <cell r="F38">
            <v>54.541361541638373</v>
          </cell>
          <cell r="G38">
            <v>1402.217126000967</v>
          </cell>
          <cell r="H38">
            <v>2727.9458789653854</v>
          </cell>
        </row>
        <row r="39">
          <cell r="C39">
            <v>593.15</v>
          </cell>
          <cell r="D39">
            <v>11284.292927464585</v>
          </cell>
          <cell r="E39">
            <v>667.09384803259456</v>
          </cell>
          <cell r="F39">
            <v>64.63843241988674</v>
          </cell>
          <cell r="G39">
            <v>1462.2236463970949</v>
          </cell>
          <cell r="H39">
            <v>2700.5857692409318</v>
          </cell>
        </row>
        <row r="40">
          <cell r="C40">
            <v>603.15</v>
          </cell>
          <cell r="D40">
            <v>12858.051600204721</v>
          </cell>
          <cell r="E40">
            <v>640.77321526639412</v>
          </cell>
          <cell r="F40">
            <v>77.050425987314995</v>
          </cell>
          <cell r="G40">
            <v>1525.8683270550703</v>
          </cell>
          <cell r="H40">
            <v>2666.0311405571597</v>
          </cell>
        </row>
        <row r="41">
          <cell r="C41">
            <v>613.15</v>
          </cell>
          <cell r="D41">
            <v>14600.677372002101</v>
          </cell>
          <cell r="E41">
            <v>610.66759832540379</v>
          </cell>
          <cell r="F41">
            <v>92.758782507417237</v>
          </cell>
          <cell r="G41">
            <v>1594.5289922362922</v>
          </cell>
          <cell r="H41">
            <v>2621.8455755251803</v>
          </cell>
        </row>
        <row r="42">
          <cell r="C42">
            <v>623.15</v>
          </cell>
          <cell r="D42">
            <v>16529.415139050998</v>
          </cell>
          <cell r="E42">
            <v>574.70651653764185</v>
          </cell>
          <cell r="F42">
            <v>113.60561050162514</v>
          </cell>
          <cell r="G42">
            <v>1670.8899067278071</v>
          </cell>
          <cell r="H42">
            <v>2563.6367109445755</v>
          </cell>
        </row>
        <row r="43">
          <cell r="C43">
            <v>633.15</v>
          </cell>
          <cell r="D43">
            <v>18666.006646276288</v>
          </cell>
          <cell r="E43">
            <v>527.59162942229682</v>
          </cell>
          <cell r="F43">
            <v>143.89841140848571</v>
          </cell>
          <cell r="G43">
            <v>1761.6646205355491</v>
          </cell>
          <cell r="H43">
            <v>2481.492483335971</v>
          </cell>
        </row>
        <row r="44">
          <cell r="C44">
            <v>643.15</v>
          </cell>
          <cell r="D44">
            <v>21043.563147465786</v>
          </cell>
          <cell r="E44">
            <v>451.42564747531935</v>
          </cell>
          <cell r="F44">
            <v>201.83931641742441</v>
          </cell>
          <cell r="G44">
            <v>1890.6872488661711</v>
          </cell>
          <cell r="H44">
            <v>2334.5182916068734</v>
          </cell>
        </row>
        <row r="45">
          <cell r="C45">
            <v>647.096</v>
          </cell>
          <cell r="D45">
            <v>22064.00000000115</v>
          </cell>
          <cell r="E45">
            <v>322.00000000000006</v>
          </cell>
          <cell r="F45">
            <v>322.00000000000006</v>
          </cell>
          <cell r="G45">
            <v>2084.2562559079452</v>
          </cell>
          <cell r="H45">
            <v>2084.2562559079452</v>
          </cell>
        </row>
      </sheetData>
      <sheetData sheetId="5" refreshError="1"/>
      <sheetData sheetId="6">
        <row r="6">
          <cell r="H6" t="str">
            <v>A</v>
          </cell>
          <cell r="J6" t="str">
            <v>PureFluids</v>
          </cell>
        </row>
        <row r="7">
          <cell r="H7" t="str">
            <v>ACENTRIC</v>
          </cell>
          <cell r="J7" t="str">
            <v>PredefinedMixtures</v>
          </cell>
        </row>
        <row r="8">
          <cell r="H8" t="str">
            <v>ALPHA0</v>
          </cell>
        </row>
        <row r="9">
          <cell r="H9" t="str">
            <v>ALPHAR</v>
          </cell>
        </row>
        <row r="10">
          <cell r="H10" t="str">
            <v>BVIRIAL</v>
          </cell>
        </row>
        <row r="11">
          <cell r="H11" t="str">
            <v>Bvirial</v>
          </cell>
        </row>
        <row r="12">
          <cell r="H12" t="str">
            <v>C</v>
          </cell>
        </row>
        <row r="13">
          <cell r="H13" t="str">
            <v>CONDUCTIVITY</v>
          </cell>
        </row>
        <row r="14">
          <cell r="H14" t="str">
            <v>CP0MASS</v>
          </cell>
        </row>
        <row r="15">
          <cell r="H15" t="str">
            <v>CP0MOLAR</v>
          </cell>
        </row>
        <row r="16">
          <cell r="H16" t="str">
            <v>CPMASS</v>
          </cell>
        </row>
        <row r="17">
          <cell r="H17" t="str">
            <v>CPMOLAR</v>
          </cell>
        </row>
        <row r="18">
          <cell r="H18" t="str">
            <v>CVIRIAL</v>
          </cell>
        </row>
        <row r="19">
          <cell r="H19" t="str">
            <v>CVMASS</v>
          </cell>
        </row>
        <row r="20">
          <cell r="H20" t="str">
            <v>CVMOLAR</v>
          </cell>
        </row>
        <row r="21">
          <cell r="H21" t="str">
            <v>Cp0mass</v>
          </cell>
        </row>
        <row r="22">
          <cell r="H22" t="str">
            <v>Cp0molar</v>
          </cell>
        </row>
        <row r="23">
          <cell r="H23" t="str">
            <v>Cpmass</v>
          </cell>
        </row>
        <row r="24">
          <cell r="H24" t="str">
            <v>Cpmolar</v>
          </cell>
        </row>
        <row r="25">
          <cell r="H25" t="str">
            <v>Cvirial</v>
          </cell>
        </row>
        <row r="26">
          <cell r="H26" t="str">
            <v>Cvmass</v>
          </cell>
        </row>
        <row r="27">
          <cell r="H27" t="str">
            <v>Cvmolar</v>
          </cell>
        </row>
        <row r="28">
          <cell r="H28" t="str">
            <v>D</v>
          </cell>
        </row>
        <row r="29">
          <cell r="H29" t="str">
            <v>DALPHA0_DDELTA_CONSTTAU</v>
          </cell>
        </row>
        <row r="30">
          <cell r="H30" t="str">
            <v>DALPHA0_DTAU_CONSTDELTA</v>
          </cell>
        </row>
        <row r="31">
          <cell r="H31" t="str">
            <v>DALPHAR_DDELTA_CONSTTAU</v>
          </cell>
        </row>
        <row r="32">
          <cell r="H32" t="str">
            <v>DALPHAR_DTAU_CONSTDELTA</v>
          </cell>
        </row>
        <row r="33">
          <cell r="H33" t="str">
            <v>DBVIRIAL_DT</v>
          </cell>
        </row>
        <row r="34">
          <cell r="H34" t="str">
            <v>DCVIRIAL_DT</v>
          </cell>
        </row>
        <row r="35">
          <cell r="H35" t="str">
            <v>DELTA</v>
          </cell>
        </row>
        <row r="36">
          <cell r="H36" t="str">
            <v>DIPOLE_MOMENT</v>
          </cell>
        </row>
        <row r="37">
          <cell r="H37" t="str">
            <v>DMASS</v>
          </cell>
        </row>
        <row r="38">
          <cell r="H38" t="str">
            <v>DMOLAR</v>
          </cell>
        </row>
        <row r="39">
          <cell r="H39" t="str">
            <v>Delta</v>
          </cell>
        </row>
        <row r="40">
          <cell r="H40" t="str">
            <v>Dmass</v>
          </cell>
        </row>
        <row r="41">
          <cell r="H41" t="str">
            <v>Dmolar</v>
          </cell>
        </row>
        <row r="42">
          <cell r="H42" t="str">
            <v>FH</v>
          </cell>
        </row>
        <row r="43">
          <cell r="H43" t="str">
            <v>FRACTION_MAX</v>
          </cell>
        </row>
        <row r="44">
          <cell r="H44" t="str">
            <v>FRACTION_MIN</v>
          </cell>
        </row>
        <row r="45">
          <cell r="H45" t="str">
            <v>FUNDAMENTAL_DERIVATIVE_OF_GAS_DYNAMICS</v>
          </cell>
        </row>
        <row r="46">
          <cell r="H46" t="str">
            <v>G</v>
          </cell>
        </row>
        <row r="47">
          <cell r="H47" t="str">
            <v>GAS_CONSTANT</v>
          </cell>
        </row>
        <row r="48">
          <cell r="H48" t="str">
            <v>GMASS</v>
          </cell>
        </row>
        <row r="49">
          <cell r="H49" t="str">
            <v>GMOLAR</v>
          </cell>
        </row>
        <row r="50">
          <cell r="H50" t="str">
            <v>GWP100</v>
          </cell>
        </row>
        <row r="51">
          <cell r="H51" t="str">
            <v>GWP20</v>
          </cell>
        </row>
        <row r="52">
          <cell r="H52" t="str">
            <v>GWP500</v>
          </cell>
        </row>
        <row r="53">
          <cell r="H53" t="str">
            <v>Gmass</v>
          </cell>
        </row>
        <row r="54">
          <cell r="H54" t="str">
            <v>Gmolar</v>
          </cell>
        </row>
        <row r="55">
          <cell r="H55" t="str">
            <v>H</v>
          </cell>
        </row>
        <row r="56">
          <cell r="H56" t="str">
            <v>HH</v>
          </cell>
        </row>
        <row r="57">
          <cell r="H57" t="str">
            <v>HMASS</v>
          </cell>
        </row>
        <row r="58">
          <cell r="H58" t="str">
            <v>HMOLAR</v>
          </cell>
        </row>
        <row r="59">
          <cell r="H59" t="str">
            <v>Hmass</v>
          </cell>
        </row>
        <row r="60">
          <cell r="H60" t="str">
            <v>Hmolar</v>
          </cell>
        </row>
        <row r="61">
          <cell r="H61" t="str">
            <v>I</v>
          </cell>
        </row>
        <row r="62">
          <cell r="H62" t="str">
            <v>ISOBARIC_EXPANSION_COEFFICIENT</v>
          </cell>
        </row>
        <row r="63">
          <cell r="H63" t="str">
            <v>ISOTHERMAL_COMPRESSIBILITY</v>
          </cell>
        </row>
        <row r="64">
          <cell r="H64" t="str">
            <v>L</v>
          </cell>
        </row>
        <row r="65">
          <cell r="H65" t="str">
            <v>M</v>
          </cell>
        </row>
        <row r="66">
          <cell r="H66" t="str">
            <v>MOLARMASS</v>
          </cell>
        </row>
        <row r="67">
          <cell r="H67" t="str">
            <v>MOLAR_MASS</v>
          </cell>
        </row>
        <row r="68">
          <cell r="H68" t="str">
            <v>MOLEMASS</v>
          </cell>
        </row>
        <row r="69">
          <cell r="H69" t="str">
            <v>O</v>
          </cell>
        </row>
        <row r="70">
          <cell r="H70" t="str">
            <v>ODP</v>
          </cell>
        </row>
        <row r="71">
          <cell r="H71" t="str">
            <v>P</v>
          </cell>
        </row>
        <row r="72">
          <cell r="H72" t="str">
            <v>PCRIT</v>
          </cell>
        </row>
        <row r="73">
          <cell r="H73" t="str">
            <v>PH</v>
          </cell>
        </row>
        <row r="74">
          <cell r="H74" t="str">
            <v>PHASE</v>
          </cell>
        </row>
        <row r="75">
          <cell r="H75" t="str">
            <v>PIP</v>
          </cell>
        </row>
        <row r="76">
          <cell r="H76" t="str">
            <v>PMAX</v>
          </cell>
        </row>
        <row r="77">
          <cell r="H77" t="str">
            <v>PMIN</v>
          </cell>
        </row>
        <row r="78">
          <cell r="H78" t="str">
            <v>PRANDTL</v>
          </cell>
        </row>
        <row r="79">
          <cell r="H79" t="str">
            <v>PTRIPLE</v>
          </cell>
        </row>
        <row r="80">
          <cell r="H80" t="str">
            <v>P_CRITICAL</v>
          </cell>
        </row>
        <row r="81">
          <cell r="H81" t="str">
            <v>P_MAX</v>
          </cell>
        </row>
        <row r="82">
          <cell r="H82" t="str">
            <v>P_MIN</v>
          </cell>
        </row>
        <row r="83">
          <cell r="H83" t="str">
            <v>P_REDUCING</v>
          </cell>
        </row>
        <row r="84">
          <cell r="H84" t="str">
            <v>P_TRIPLE</v>
          </cell>
        </row>
        <row r="85">
          <cell r="H85" t="str">
            <v>P_max</v>
          </cell>
        </row>
        <row r="86">
          <cell r="H86" t="str">
            <v>P_min</v>
          </cell>
        </row>
        <row r="87">
          <cell r="H87" t="str">
            <v>Pcrit</v>
          </cell>
        </row>
        <row r="88">
          <cell r="H88" t="str">
            <v>Phase</v>
          </cell>
        </row>
        <row r="89">
          <cell r="H89" t="str">
            <v>Prandtl</v>
          </cell>
        </row>
        <row r="90">
          <cell r="H90" t="str">
            <v>Q</v>
          </cell>
        </row>
        <row r="91">
          <cell r="H91" t="str">
            <v>RHOCRIT</v>
          </cell>
        </row>
        <row r="92">
          <cell r="H92" t="str">
            <v>RHOMASS_CRITICAL</v>
          </cell>
        </row>
        <row r="93">
          <cell r="H93" t="str">
            <v>RHOMASS_REDUCING</v>
          </cell>
        </row>
        <row r="94">
          <cell r="H94" t="str">
            <v>RHOMOLAR_CRITICAL</v>
          </cell>
        </row>
        <row r="95">
          <cell r="H95" t="str">
            <v>RHOMOLAR_REDUCING</v>
          </cell>
        </row>
        <row r="96">
          <cell r="H96" t="str">
            <v>S</v>
          </cell>
        </row>
        <row r="97">
          <cell r="H97" t="str">
            <v>SMASS</v>
          </cell>
        </row>
        <row r="98">
          <cell r="H98" t="str">
            <v>SMOLAR</v>
          </cell>
        </row>
        <row r="99">
          <cell r="H99" t="str">
            <v>SMOLAR_RESIDUAL</v>
          </cell>
        </row>
        <row r="100">
          <cell r="H100" t="str">
            <v>SPEED_OF_SOUND</v>
          </cell>
        </row>
        <row r="101">
          <cell r="H101" t="str">
            <v>SURFACE_TENSION</v>
          </cell>
        </row>
        <row r="102">
          <cell r="H102" t="str">
            <v>Smass</v>
          </cell>
        </row>
        <row r="103">
          <cell r="H103" t="str">
            <v>Smolar</v>
          </cell>
        </row>
        <row r="104">
          <cell r="H104" t="str">
            <v>Smolar_residual</v>
          </cell>
        </row>
        <row r="105">
          <cell r="H105" t="str">
            <v>T</v>
          </cell>
        </row>
        <row r="106">
          <cell r="H106" t="str">
            <v>TAU</v>
          </cell>
        </row>
        <row r="107">
          <cell r="H107" t="str">
            <v>TCRIT</v>
          </cell>
        </row>
        <row r="108">
          <cell r="H108" t="str">
            <v>TMAX</v>
          </cell>
        </row>
        <row r="109">
          <cell r="H109" t="str">
            <v>TMIN</v>
          </cell>
        </row>
        <row r="110">
          <cell r="H110" t="str">
            <v>TTRIPLE</v>
          </cell>
        </row>
        <row r="111">
          <cell r="H111" t="str">
            <v>T_CRITICAL</v>
          </cell>
        </row>
        <row r="112">
          <cell r="H112" t="str">
            <v>T_FREEZE</v>
          </cell>
        </row>
        <row r="113">
          <cell r="H113" t="str">
            <v>T_MAX</v>
          </cell>
        </row>
        <row r="114">
          <cell r="H114" t="str">
            <v>T_MIN</v>
          </cell>
        </row>
        <row r="115">
          <cell r="H115" t="str">
            <v>T_REDUCING</v>
          </cell>
        </row>
        <row r="116">
          <cell r="H116" t="str">
            <v>T_TRIPLE</v>
          </cell>
        </row>
        <row r="117">
          <cell r="H117" t="str">
            <v>T_critical</v>
          </cell>
        </row>
        <row r="118">
          <cell r="H118" t="str">
            <v>T_freeze</v>
          </cell>
        </row>
        <row r="119">
          <cell r="H119" t="str">
            <v>T_max</v>
          </cell>
        </row>
        <row r="120">
          <cell r="H120" t="str">
            <v>T_min</v>
          </cell>
        </row>
        <row r="121">
          <cell r="H121" t="str">
            <v>T_reducing</v>
          </cell>
        </row>
        <row r="122">
          <cell r="H122" t="str">
            <v>T_triple</v>
          </cell>
        </row>
        <row r="123">
          <cell r="H123" t="str">
            <v>Tau</v>
          </cell>
        </row>
        <row r="124">
          <cell r="H124" t="str">
            <v>Tcrit</v>
          </cell>
        </row>
        <row r="125">
          <cell r="H125" t="str">
            <v>Tmax</v>
          </cell>
        </row>
        <row r="126">
          <cell r="H126" t="str">
            <v>Tmin</v>
          </cell>
        </row>
        <row r="127">
          <cell r="H127" t="str">
            <v>Ttriple</v>
          </cell>
        </row>
        <row r="128">
          <cell r="H128" t="str">
            <v>U</v>
          </cell>
        </row>
        <row r="129">
          <cell r="H129" t="str">
            <v>UMASS</v>
          </cell>
        </row>
        <row r="130">
          <cell r="H130" t="str">
            <v>UMOLAR</v>
          </cell>
        </row>
        <row r="131">
          <cell r="H131" t="str">
            <v>Umass</v>
          </cell>
        </row>
        <row r="132">
          <cell r="H132" t="str">
            <v>Umolar</v>
          </cell>
        </row>
        <row r="133">
          <cell r="H133" t="str">
            <v>V</v>
          </cell>
        </row>
        <row r="134">
          <cell r="H134" t="str">
            <v>VISCOSITY</v>
          </cell>
        </row>
        <row r="135">
          <cell r="H135" t="str">
            <v>Z</v>
          </cell>
        </row>
        <row r="136">
          <cell r="H136" t="str">
            <v>acentric</v>
          </cell>
        </row>
        <row r="137">
          <cell r="H137" t="str">
            <v>alpha0</v>
          </cell>
        </row>
        <row r="138">
          <cell r="H138" t="str">
            <v>alphar</v>
          </cell>
        </row>
        <row r="139">
          <cell r="H139" t="str">
            <v>conductivity</v>
          </cell>
        </row>
        <row r="140">
          <cell r="H140" t="str">
            <v>dBvirial_dT</v>
          </cell>
        </row>
        <row r="141">
          <cell r="H141" t="str">
            <v>dCvirial_dT</v>
          </cell>
        </row>
        <row r="142">
          <cell r="H142" t="str">
            <v>dalpha0_ddelta_consttau</v>
          </cell>
        </row>
        <row r="143">
          <cell r="H143" t="str">
            <v>dalpha0_dtau_constdelta</v>
          </cell>
        </row>
        <row r="144">
          <cell r="H144" t="str">
            <v>dalphar_ddelta_consttau</v>
          </cell>
        </row>
        <row r="145">
          <cell r="H145" t="str">
            <v>dalphar_dtau_constdelta</v>
          </cell>
        </row>
        <row r="146">
          <cell r="H146" t="str">
            <v>dipole_moment</v>
          </cell>
        </row>
        <row r="147">
          <cell r="H147" t="str">
            <v>fraction_max</v>
          </cell>
        </row>
        <row r="148">
          <cell r="H148" t="str">
            <v>fraction_min</v>
          </cell>
        </row>
        <row r="149">
          <cell r="H149" t="str">
            <v>fundamental_derivative_of_gas_dynamics</v>
          </cell>
        </row>
        <row r="150">
          <cell r="H150" t="str">
            <v>gas_constant</v>
          </cell>
        </row>
        <row r="151">
          <cell r="H151" t="str">
            <v>isobaric_expansion_coefficient</v>
          </cell>
        </row>
        <row r="152">
          <cell r="H152" t="str">
            <v>isothermal_compressibility</v>
          </cell>
        </row>
        <row r="153">
          <cell r="H153" t="str">
            <v>molar_mass</v>
          </cell>
        </row>
        <row r="154">
          <cell r="H154" t="str">
            <v>molarmass</v>
          </cell>
        </row>
        <row r="155">
          <cell r="H155" t="str">
            <v>molemass</v>
          </cell>
        </row>
        <row r="156">
          <cell r="H156" t="str">
            <v>p_critical</v>
          </cell>
        </row>
        <row r="157">
          <cell r="H157" t="str">
            <v>p_reducing</v>
          </cell>
        </row>
        <row r="158">
          <cell r="H158" t="str">
            <v>p_triple</v>
          </cell>
        </row>
        <row r="159">
          <cell r="H159" t="str">
            <v>pcrit</v>
          </cell>
        </row>
        <row r="160">
          <cell r="H160" t="str">
            <v>pmax</v>
          </cell>
        </row>
        <row r="161">
          <cell r="H161" t="str">
            <v>pmin</v>
          </cell>
        </row>
        <row r="162">
          <cell r="H162" t="str">
            <v>ptriple</v>
          </cell>
        </row>
        <row r="163">
          <cell r="H163" t="str">
            <v>rhocrit</v>
          </cell>
        </row>
        <row r="164">
          <cell r="H164" t="str">
            <v>rhomass_critical</v>
          </cell>
        </row>
        <row r="165">
          <cell r="H165" t="str">
            <v>rhomass_reducing</v>
          </cell>
        </row>
        <row r="166">
          <cell r="H166" t="str">
            <v>rhomolar_critical</v>
          </cell>
        </row>
        <row r="167">
          <cell r="H167" t="str">
            <v>rhomolar_reducing</v>
          </cell>
        </row>
        <row r="168">
          <cell r="H168" t="str">
            <v>speed_of_sound</v>
          </cell>
        </row>
        <row r="169">
          <cell r="H169" t="str">
            <v>surface_tension</v>
          </cell>
        </row>
        <row r="170">
          <cell r="H170" t="str">
            <v>viscosity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B9A3-CDF8-40B8-AF57-AF148A57E11B}">
  <dimension ref="A1:I56"/>
  <sheetViews>
    <sheetView tabSelected="1" topLeftCell="A5" workbookViewId="0">
      <selection activeCell="J55" sqref="J55"/>
    </sheetView>
  </sheetViews>
  <sheetFormatPr defaultRowHeight="14.4" x14ac:dyDescent="0.55000000000000004"/>
  <cols>
    <col min="1" max="1" width="4" customWidth="1"/>
    <col min="2" max="2" width="12.62890625" bestFit="1" customWidth="1"/>
    <col min="3" max="3" width="12.26171875" customWidth="1"/>
    <col min="4" max="4" width="12.62890625" bestFit="1" customWidth="1"/>
    <col min="5" max="5" width="12.26171875" customWidth="1"/>
    <col min="6" max="6" width="11.3671875" customWidth="1"/>
    <col min="7" max="7" width="12.734375" customWidth="1"/>
    <col min="8" max="8" width="13" customWidth="1"/>
    <col min="9" max="9" width="4.26171875" customWidth="1"/>
  </cols>
  <sheetData>
    <row r="1" spans="1:9" ht="14.7" thickBot="1" x14ac:dyDescent="0.6">
      <c r="A1" s="1"/>
      <c r="B1" s="2"/>
      <c r="C1" s="2"/>
      <c r="D1" s="2"/>
      <c r="E1" s="2"/>
      <c r="F1" s="2"/>
      <c r="G1" s="2"/>
      <c r="H1" s="2"/>
      <c r="I1" s="1"/>
    </row>
    <row r="2" spans="1:9" ht="18.600000000000001" thickTop="1" x14ac:dyDescent="0.7">
      <c r="A2" s="3"/>
      <c r="B2" s="4" t="s">
        <v>0</v>
      </c>
      <c r="C2" s="4"/>
      <c r="D2" s="4"/>
      <c r="E2" s="4"/>
      <c r="F2" s="4"/>
      <c r="G2" s="4"/>
      <c r="H2" s="5"/>
      <c r="I2" s="1"/>
    </row>
    <row r="3" spans="1:9" x14ac:dyDescent="0.55000000000000004">
      <c r="A3" s="3"/>
      <c r="B3" s="6" t="s">
        <v>1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3</v>
      </c>
      <c r="H3" s="8" t="s">
        <v>4</v>
      </c>
      <c r="I3" s="1"/>
    </row>
    <row r="4" spans="1:9" x14ac:dyDescent="0.55000000000000004">
      <c r="A4" s="3"/>
      <c r="B4" s="9"/>
      <c r="C4" s="10"/>
      <c r="D4" s="7"/>
      <c r="E4" s="7" t="s">
        <v>5</v>
      </c>
      <c r="F4" s="7" t="s">
        <v>5</v>
      </c>
      <c r="G4" s="7" t="s">
        <v>6</v>
      </c>
      <c r="H4" s="8" t="s">
        <v>6</v>
      </c>
      <c r="I4" s="1"/>
    </row>
    <row r="5" spans="1:9" ht="14.7" thickBot="1" x14ac:dyDescent="0.6">
      <c r="A5" s="3"/>
      <c r="B5" s="11" t="s">
        <v>7</v>
      </c>
      <c r="C5" s="12" t="s">
        <v>8</v>
      </c>
      <c r="D5" s="12" t="s">
        <v>9</v>
      </c>
      <c r="E5" s="12" t="s">
        <v>10</v>
      </c>
      <c r="F5" s="12" t="s">
        <v>10</v>
      </c>
      <c r="G5" s="12" t="s">
        <v>11</v>
      </c>
      <c r="H5" s="13" t="s">
        <v>11</v>
      </c>
      <c r="I5" s="1"/>
    </row>
    <row r="6" spans="1:9" ht="15" thickTop="1" thickBot="1" x14ac:dyDescent="0.6">
      <c r="A6" s="1"/>
      <c r="B6" s="14" t="s">
        <v>12</v>
      </c>
      <c r="C6" s="15" t="s">
        <v>13</v>
      </c>
      <c r="D6" s="15"/>
      <c r="E6" s="15"/>
      <c r="F6" s="15"/>
      <c r="G6" s="15"/>
      <c r="H6" s="15"/>
      <c r="I6" s="1"/>
    </row>
    <row r="7" spans="1:9" ht="14.7" thickTop="1" x14ac:dyDescent="0.55000000000000004">
      <c r="A7" s="16"/>
      <c r="B7" s="17" cm="1">
        <f t="array" ref="B7:B56">_xlfn.SEQUENCE(50, 1, -50, 3)</f>
        <v>-50</v>
      </c>
      <c r="C7" s="18">
        <f>B7+273.15</f>
        <v>223.14999999999998</v>
      </c>
      <c r="D7" s="19">
        <f>[2]!PropsSI("P","T",C7,"Q",1,$C$6)/1000</f>
        <v>16.796939035387762</v>
      </c>
      <c r="E7" s="20">
        <f>[2]!PropsSI("D","T",$C7,"Q",0,$C$6)</f>
        <v>634.43810041627114</v>
      </c>
      <c r="F7" s="20">
        <f>[2]!PropsSI("D","T",$C7,"Q",1,$C$6)</f>
        <v>0.53214473629055203</v>
      </c>
      <c r="G7" s="21">
        <f>[2]!PropsSI("H","T",$C7,"Q",0,$C$6)/1000</f>
        <v>91.763519242430505</v>
      </c>
      <c r="H7" s="22">
        <f>[2]!PropsSI("H","T",$C7,"Q",1,$C$6)/1000</f>
        <v>488.48922831963364</v>
      </c>
      <c r="I7" s="1"/>
    </row>
    <row r="8" spans="1:9" x14ac:dyDescent="0.55000000000000004">
      <c r="A8" s="16"/>
      <c r="B8" s="17">
        <v>-47</v>
      </c>
      <c r="C8" s="18">
        <f t="shared" ref="C8:C56" si="0">B8+273.15</f>
        <v>226.14999999999998</v>
      </c>
      <c r="D8" s="19">
        <f>[2]!PropsSI("P","T",C8,"Q",1,$C$6)/1000</f>
        <v>19.84018663940806</v>
      </c>
      <c r="E8" s="20">
        <f>[2]!PropsSI("D","T",$C8,"Q",0,$C$6)</f>
        <v>631.36252632781566</v>
      </c>
      <c r="F8" s="20">
        <f>[2]!PropsSI("D","T",$C8,"Q",1,$C$6)</f>
        <v>0.6211438335454027</v>
      </c>
      <c r="G8" s="21">
        <f>[2]!PropsSI("H","T",$C8,"Q",0,$C$6)/1000</f>
        <v>97.945162447175932</v>
      </c>
      <c r="H8" s="22">
        <f>[2]!PropsSI("H","T",$C8,"Q",1,$C$6)/1000</f>
        <v>492.32500630103533</v>
      </c>
      <c r="I8" s="1"/>
    </row>
    <row r="9" spans="1:9" x14ac:dyDescent="0.55000000000000004">
      <c r="A9" s="16"/>
      <c r="B9" s="17">
        <v>-44</v>
      </c>
      <c r="C9" s="18">
        <f t="shared" si="0"/>
        <v>229.14999999999998</v>
      </c>
      <c r="D9" s="19">
        <f>[2]!PropsSI("P","T",C9,"Q",1,$C$6)/1000</f>
        <v>23.316783146665678</v>
      </c>
      <c r="E9" s="20">
        <f>[2]!PropsSI("D","T",$C9,"Q",0,$C$6)</f>
        <v>628.27104846804059</v>
      </c>
      <c r="F9" s="20">
        <f>[2]!PropsSI("D","T",$C9,"Q",1,$C$6)</f>
        <v>0.7216023897782945</v>
      </c>
      <c r="G9" s="21">
        <f>[2]!PropsSI("H","T",$C9,"Q",0,$C$6)/1000</f>
        <v>104.1632078228631</v>
      </c>
      <c r="H9" s="22">
        <f>[2]!PropsSI("H","T",$C9,"Q",1,$C$6)/1000</f>
        <v>496.1801897548429</v>
      </c>
      <c r="I9" s="1"/>
    </row>
    <row r="10" spans="1:9" x14ac:dyDescent="0.55000000000000004">
      <c r="A10" s="16"/>
      <c r="B10" s="17">
        <v>-41</v>
      </c>
      <c r="C10" s="18">
        <f t="shared" si="0"/>
        <v>232.14999999999998</v>
      </c>
      <c r="D10" s="19">
        <f>[2]!PropsSI("P","T",C10,"Q",1,$C$6)/1000</f>
        <v>27.270578122081343</v>
      </c>
      <c r="E10" s="20">
        <f>[2]!PropsSI("D","T",$C10,"Q",0,$C$6)</f>
        <v>625.16296034787331</v>
      </c>
      <c r="F10" s="20">
        <f>[2]!PropsSI("D","T",$C10,"Q",1,$C$6)</f>
        <v>0.83453305568554548</v>
      </c>
      <c r="G10" s="21">
        <f>[2]!PropsSI("H","T",$C10,"Q",0,$C$6)/1000</f>
        <v>110.41830079346124</v>
      </c>
      <c r="H10" s="22">
        <f>[2]!PropsSI("H","T",$C10,"Q",1,$C$6)/1000</f>
        <v>500.05385640160165</v>
      </c>
      <c r="I10" s="1"/>
    </row>
    <row r="11" spans="1:9" x14ac:dyDescent="0.55000000000000004">
      <c r="A11" s="16"/>
      <c r="B11" s="17">
        <v>-38</v>
      </c>
      <c r="C11" s="18">
        <f t="shared" si="0"/>
        <v>235.14999999999998</v>
      </c>
      <c r="D11" s="19">
        <f>[2]!PropsSI("P","T",C11,"Q",1,$C$6)/1000</f>
        <v>31.747785507471139</v>
      </c>
      <c r="E11" s="20">
        <f>[2]!PropsSI("D","T",$C11,"Q",0,$C$6)</f>
        <v>622.03752658510552</v>
      </c>
      <c r="F11" s="20">
        <f>[2]!PropsSI("D","T",$C11,"Q",1,$C$6)</f>
        <v>0.96099333842001611</v>
      </c>
      <c r="G11" s="21">
        <f>[2]!PropsSI("H","T",$C11,"Q",0,$C$6)/1000</f>
        <v>116.71110724204016</v>
      </c>
      <c r="H11" s="22">
        <f>[2]!PropsSI("H","T",$C11,"Q",1,$C$6)/1000</f>
        <v>503.94507239372695</v>
      </c>
      <c r="I11" s="1"/>
    </row>
    <row r="12" spans="1:9" x14ac:dyDescent="0.55000000000000004">
      <c r="A12" s="16"/>
      <c r="B12" s="17">
        <v>-35</v>
      </c>
      <c r="C12" s="18">
        <f t="shared" si="0"/>
        <v>238.14999999999998</v>
      </c>
      <c r="D12" s="19">
        <f>[2]!PropsSI("P","T",C12,"Q",1,$C$6)/1000</f>
        <v>36.796944907005994</v>
      </c>
      <c r="E12" s="20">
        <f>[2]!PropsSI("D","T",$C12,"Q",0,$C$6)</f>
        <v>618.89398104561087</v>
      </c>
      <c r="F12" s="20">
        <f>[2]!PropsSI("D","T",$C12,"Q",1,$C$6)</f>
        <v>1.1020854289871023</v>
      </c>
      <c r="G12" s="21">
        <f>[2]!PropsSI("H","T",$C12,"Q",0,$C$6)/1000</f>
        <v>123.04231329172237</v>
      </c>
      <c r="H12" s="22">
        <f>[2]!PropsSI("H","T",$C12,"Q",1,$C$6)/1000</f>
        <v>507.85289264323336</v>
      </c>
      <c r="I12" s="1"/>
    </row>
    <row r="13" spans="1:9" x14ac:dyDescent="0.55000000000000004">
      <c r="A13" s="16"/>
      <c r="B13" s="17">
        <v>-32</v>
      </c>
      <c r="C13" s="18">
        <f t="shared" si="0"/>
        <v>241.14999999999998</v>
      </c>
      <c r="D13" s="19">
        <f>[2]!PropsSI("P","T",C13,"Q",1,$C$6)/1000</f>
        <v>42.468875011151233</v>
      </c>
      <c r="E13" s="20">
        <f>[2]!PropsSI("D","T",$C13,"Q",0,$C$6)</f>
        <v>615.73152482985051</v>
      </c>
      <c r="F13" s="20">
        <f>[2]!PropsSI("D","T",$C13,"Q",1,$C$6)</f>
        <v>1.2589561791547594</v>
      </c>
      <c r="G13" s="21">
        <f>[2]!PropsSI("H","T",$C13,"Q",0,$C$6)/1000</f>
        <v>129.41262518543661</v>
      </c>
      <c r="H13" s="22">
        <f>[2]!PropsSI("H","T",$C13,"Q",1,$C$6)/1000</f>
        <v>511.77636087190774</v>
      </c>
    </row>
    <row r="14" spans="1:9" x14ac:dyDescent="0.55000000000000004">
      <c r="A14" s="16"/>
      <c r="B14" s="17">
        <v>-29</v>
      </c>
      <c r="C14" s="18">
        <f t="shared" si="0"/>
        <v>244.14999999999998</v>
      </c>
      <c r="D14" s="19">
        <f>[2]!PropsSI("P","T",C14,"Q",1,$C$6)/1000</f>
        <v>48.816620158175823</v>
      </c>
      <c r="E14" s="20">
        <f>[2]!PropsSI("D","T",$C14,"Q",0,$C$6)</f>
        <v>612.54932408845241</v>
      </c>
      <c r="F14" s="20">
        <f>[2]!PropsSI("D","T",$C14,"Q",1,$C$6)</f>
        <v>1.4327972636854345</v>
      </c>
      <c r="G14" s="21">
        <f>[2]!PropsSI("H","T",$C14,"Q",0,$C$6)/1000</f>
        <v>135.82276927401008</v>
      </c>
      <c r="H14" s="22">
        <f>[2]!PropsSI("H","T",$C14,"Q",1,$C$6)/1000</f>
        <v>515.71450937063628</v>
      </c>
      <c r="I14" s="1"/>
    </row>
    <row r="15" spans="1:9" x14ac:dyDescent="0.55000000000000004">
      <c r="A15" s="16"/>
      <c r="B15" s="17">
        <v>-26</v>
      </c>
      <c r="C15" s="18">
        <f t="shared" si="0"/>
        <v>247.14999999999998</v>
      </c>
      <c r="D15" s="19">
        <f>[2]!PropsSI("P","T",C15,"Q",1,$C$6)/1000</f>
        <v>55.895391048507655</v>
      </c>
      <c r="E15" s="20">
        <f>[2]!PropsSI("D","T",$C15,"Q",0,$C$6)</f>
        <v>609.34650764901983</v>
      </c>
      <c r="F15" s="20">
        <f>[2]!PropsSI("D","T",$C15,"Q",1,$C$6)</f>
        <v>1.6248455627293985</v>
      </c>
      <c r="G15" s="21">
        <f>[2]!PropsSI("H","T",$C15,"Q",0,$C$6)/1000</f>
        <v>142.27349212244141</v>
      </c>
      <c r="H15" s="22">
        <f>[2]!PropsSI("H","T",$C15,"Q",1,$C$6)/1000</f>
        <v>519.66635845691587</v>
      </c>
      <c r="I15" s="1"/>
    </row>
    <row r="16" spans="1:9" x14ac:dyDescent="0.55000000000000004">
      <c r="A16" s="16"/>
      <c r="B16" s="17">
        <v>-23</v>
      </c>
      <c r="C16" s="18">
        <f t="shared" si="0"/>
        <v>250.14999999999998</v>
      </c>
      <c r="D16" s="19">
        <f>[2]!PropsSI("P","T",C16,"Q",1,$C$6)/1000</f>
        <v>63.762500633423784</v>
      </c>
      <c r="E16" s="20">
        <f>[2]!PropsSI("D","T",$C16,"Q",0,$C$6)</f>
        <v>606.12216443437183</v>
      </c>
      <c r="F16" s="20">
        <f>[2]!PropsSI("D","T",$C16,"Q",1,$C$6)</f>
        <v>1.836383798500091</v>
      </c>
      <c r="G16" s="21">
        <f>[2]!PropsSI("H","T",$C16,"Q",0,$C$6)/1000</f>
        <v>148.76556074467479</v>
      </c>
      <c r="H16" s="22">
        <f>[2]!PropsSI("H","T",$C16,"Q",1,$C$6)/1000</f>
        <v>523.63091562118166</v>
      </c>
      <c r="I16" s="1"/>
    </row>
    <row r="17" spans="1:9" x14ac:dyDescent="0.55000000000000004">
      <c r="A17" s="16"/>
      <c r="B17" s="17">
        <v>-20</v>
      </c>
      <c r="C17" s="18">
        <f t="shared" si="0"/>
        <v>253.14999999999998</v>
      </c>
      <c r="D17" s="19">
        <f>[2]!PropsSI("P","T",C17,"Q",1,$C$6)/1000</f>
        <v>72.477296174549238</v>
      </c>
      <c r="E17" s="20">
        <f>[2]!PropsSI("D","T",$C17,"Q",0,$C$6)</f>
        <v>602.87534065014199</v>
      </c>
      <c r="F17" s="20">
        <f>[2]!PropsSI("D","T",$C17,"Q",1,$C$6)</f>
        <v>2.0687414599973826</v>
      </c>
      <c r="G17" s="21">
        <f>[2]!PropsSI("H","T",$C17,"Q",0,$C$6)/1000</f>
        <v>155.29976297771552</v>
      </c>
      <c r="H17" s="22">
        <f>[2]!PropsSI("H","T",$C17,"Q",1,$C$6)/1000</f>
        <v>527.6071743534942</v>
      </c>
      <c r="I17" s="1"/>
    </row>
    <row r="18" spans="1:9" x14ac:dyDescent="0.55000000000000004">
      <c r="A18" s="16"/>
      <c r="B18" s="17">
        <v>-17</v>
      </c>
      <c r="C18" s="18">
        <f t="shared" si="0"/>
        <v>256.14999999999998</v>
      </c>
      <c r="D18" s="19">
        <f>[2]!PropsSI("P","T",C18,"Q",1,$C$6)/1000</f>
        <v>82.10108845540789</v>
      </c>
      <c r="E18" s="20">
        <f>[2]!PropsSI("D","T",$C18,"Q",0,$C$6)</f>
        <v>599.60503671699269</v>
      </c>
      <c r="F18" s="20">
        <f>[2]!PropsSI("D","T",$C18,"Q",1,$C$6)</f>
        <v>2.323296049666562</v>
      </c>
      <c r="G18" s="21">
        <f>[2]!PropsSI("H","T",$C18,"Q",0,$C$6)/1000</f>
        <v>161.87690800672044</v>
      </c>
      <c r="H18" s="22">
        <f>[2]!PropsSI("H","T",$C18,"Q",1,$C$6)/1000</f>
        <v>531.59411264233893</v>
      </c>
      <c r="I18" s="1"/>
    </row>
    <row r="19" spans="1:9" x14ac:dyDescent="0.55000000000000004">
      <c r="A19" s="16"/>
      <c r="B19" s="17">
        <v>-14</v>
      </c>
      <c r="C19" s="18">
        <f t="shared" si="0"/>
        <v>259.14999999999998</v>
      </c>
      <c r="D19" s="19">
        <f>[2]!PropsSI("P","T",C19,"Q",1,$C$6)/1000</f>
        <v>92.697079091358759</v>
      </c>
      <c r="E19" s="20">
        <f>[2]!PropsSI("D","T",$C19,"Q",0,$C$6)</f>
        <v>596.31020391965683</v>
      </c>
      <c r="F19" s="20">
        <f>[2]!PropsSI("D","T",$C19,"Q",1,$C$6)</f>
        <v>2.6014746865769998</v>
      </c>
      <c r="G19" s="21">
        <f>[2]!PropsSI("H","T",$C19,"Q",0,$C$6)/1000</f>
        <v>168.4978270535496</v>
      </c>
      <c r="H19" s="22">
        <f>[2]!PropsSI("H","T",$C19,"Q",1,$C$6)/1000</f>
        <v>535.59069113682017</v>
      </c>
      <c r="I19" s="1"/>
    </row>
    <row r="20" spans="1:9" x14ac:dyDescent="0.55000000000000004">
      <c r="A20" s="16"/>
      <c r="B20" s="17">
        <v>-11</v>
      </c>
      <c r="C20" s="18">
        <f t="shared" si="0"/>
        <v>262.14999999999998</v>
      </c>
      <c r="D20" s="19">
        <f>[2]!PropsSI("P","T",C20,"Q",1,$C$6)/1000</f>
        <v>104.33028682919903</v>
      </c>
      <c r="E20" s="20">
        <f>[2]!PropsSI("D","T",$C20,"Q",0,$C$6)</f>
        <v>592.98974074136709</v>
      </c>
      <c r="F20" s="20">
        <f>[2]!PropsSI("D","T",$C20,"Q",1,$C$6)</f>
        <v>2.9047561020826973</v>
      </c>
      <c r="G20" s="21">
        <f>[2]!PropsSI("H","T",$C20,"Q",0,$C$6)/1000</f>
        <v>175.1633742423831</v>
      </c>
      <c r="H20" s="22">
        <f>[2]!PropsSI("H","T",$C20,"Q",1,$C$6)/1000</f>
        <v>539.59585096237618</v>
      </c>
      <c r="I20" s="1"/>
    </row>
    <row r="21" spans="1:9" x14ac:dyDescent="0.55000000000000004">
      <c r="A21" s="16"/>
      <c r="B21" s="17">
        <v>-8</v>
      </c>
      <c r="C21" s="18">
        <f t="shared" si="0"/>
        <v>265.14999999999998</v>
      </c>
      <c r="D21" s="19">
        <f>[2]!PropsSI("P","T",C21,"Q",1,$C$6)/1000</f>
        <v>117.06747370178692</v>
      </c>
      <c r="E21" s="20">
        <f>[2]!PropsSI("D","T",$C21,"Q",0,$C$6)</f>
        <v>589.64248884807785</v>
      </c>
      <c r="F21" s="20">
        <f>[2]!PropsSI("D","T",$C21,"Q",1,$C$6)</f>
        <v>3.2346730660837317</v>
      </c>
      <c r="G21" s="21">
        <f>[2]!PropsSI("H","T",$C21,"Q",0,$C$6)/1000</f>
        <v>181.87442765740539</v>
      </c>
      <c r="H21" s="22">
        <f>[2]!PropsSI("H","T",$C21,"Q",1,$C$6)/1000</f>
        <v>543.60851117830271</v>
      </c>
      <c r="I21" s="1"/>
    </row>
    <row r="22" spans="1:9" x14ac:dyDescent="0.55000000000000004">
      <c r="A22" s="16"/>
      <c r="B22" s="17">
        <v>-5</v>
      </c>
      <c r="C22" s="18">
        <f t="shared" si="0"/>
        <v>268.14999999999998</v>
      </c>
      <c r="D22" s="19">
        <f>[2]!PropsSI("P","T",C22,"Q",1,$C$6)/1000</f>
        <v>130.9770718324923</v>
      </c>
      <c r="E22" s="20">
        <f>[2]!PropsSI("D","T",$C22,"Q",0,$C$6)</f>
        <v>586.26722868198078</v>
      </c>
      <c r="F22" s="20">
        <f>[2]!PropsSI("D","T",$C22,"Q",1,$C$6)</f>
        <v>3.5928152850563086</v>
      </c>
      <c r="G22" s="21">
        <f>[2]!PropsSI("H","T",$C22,"Q",0,$C$6)/1000</f>
        <v>188.6318906091542</v>
      </c>
      <c r="H22" s="22">
        <f>[2]!PropsSI("H","T",$C22,"Q",1,$C$6)/1000</f>
        <v>547.62756586285047</v>
      </c>
      <c r="I22" s="1"/>
    </row>
    <row r="23" spans="1:9" x14ac:dyDescent="0.55000000000000004">
      <c r="A23" s="16"/>
      <c r="B23" s="17">
        <v>-2</v>
      </c>
      <c r="C23" s="18">
        <f t="shared" si="0"/>
        <v>271.14999999999998</v>
      </c>
      <c r="D23" s="19">
        <f>[2]!PropsSI("P","T",C23,"Q",1,$C$6)/1000</f>
        <v>146.12911165341964</v>
      </c>
      <c r="E23" s="20">
        <f>[2]!PropsSI("D","T",$C23,"Q",0,$C$6)</f>
        <v>582.86267461809643</v>
      </c>
      <c r="F23" s="20">
        <f>[2]!PropsSI("D","T",$C23,"Q",1,$C$6)</f>
        <v>3.9808328170798544</v>
      </c>
      <c r="G23" s="21">
        <f>[2]!PropsSI("H","T",$C23,"Q",0,$C$6)/1000</f>
        <v>195.43669312818176</v>
      </c>
      <c r="H23" s="22">
        <f>[2]!PropsSI("H","T",$C23,"Q",1,$C$6)/1000</f>
        <v>551.65188080843973</v>
      </c>
      <c r="I23" s="1"/>
    </row>
    <row r="24" spans="1:9" x14ac:dyDescent="0.55000000000000004">
      <c r="A24" s="16"/>
      <c r="B24" s="17">
        <v>1</v>
      </c>
      <c r="C24" s="18">
        <f t="shared" si="0"/>
        <v>274.14999999999998</v>
      </c>
      <c r="D24" s="19">
        <f>[2]!PropsSI("P","T",C24,"Q",1,$C$6)/1000</f>
        <v>162.59515223329888</v>
      </c>
      <c r="E24" s="20">
        <f>[2]!PropsSI("D","T",$C24,"Q",0,$C$6)</f>
        <v>579.42746963103457</v>
      </c>
      <c r="F24" s="20">
        <f>[2]!PropsSI("D","T",$C24,"Q",1,$C$6)</f>
        <v>4.4004400543016855</v>
      </c>
      <c r="G24" s="21">
        <f>[2]!PropsSI("H","T",$C24,"Q",0,$C$6)/1000</f>
        <v>202.28979370702498</v>
      </c>
      <c r="H24" s="22">
        <f>[2]!PropsSI("H","T",$C24,"Q",1,$C$6)/1000</f>
        <v>555.68028980568738</v>
      </c>
      <c r="I24" s="1"/>
    </row>
    <row r="25" spans="1:9" x14ac:dyDescent="0.55000000000000004">
      <c r="A25" s="16"/>
      <c r="B25" s="17">
        <v>4</v>
      </c>
      <c r="C25" s="18">
        <f t="shared" si="0"/>
        <v>277.14999999999998</v>
      </c>
      <c r="D25" s="19">
        <f>[2]!PropsSI("P","T",C25,"Q",1,$C$6)/1000</f>
        <v>180.44821437978231</v>
      </c>
      <c r="E25" s="20">
        <f>[2]!PropsSI("D","T",$C25,"Q",0,$C$6)</f>
        <v>575.96017941115349</v>
      </c>
      <c r="F25" s="20">
        <f>[2]!PropsSI("D","T",$C25,"Q",1,$C$6)</f>
        <v>4.8534203298131828</v>
      </c>
      <c r="G25" s="21">
        <f>[2]!PropsSI("H","T",$C25,"Q",0,$C$6)/1000</f>
        <v>209.19218131439789</v>
      </c>
      <c r="H25" s="22">
        <f>[2]!PropsSI("H","T",$C25,"Q",1,$C$6)/1000</f>
        <v>559.71159049075663</v>
      </c>
      <c r="I25" s="1"/>
    </row>
    <row r="26" spans="1:9" x14ac:dyDescent="0.55000000000000004">
      <c r="A26" s="16"/>
      <c r="B26" s="17">
        <v>7</v>
      </c>
      <c r="C26" s="18">
        <f t="shared" si="0"/>
        <v>280.14999999999998</v>
      </c>
      <c r="D26" s="19">
        <f>[2]!PropsSI("P","T",C26,"Q",1,$C$6)/1000</f>
        <v>199.76271712740575</v>
      </c>
      <c r="E26" s="20">
        <f>[2]!PropsSI("D","T",$C26,"Q",0,$C$6)</f>
        <v>572.45928586010359</v>
      </c>
      <c r="F26" s="20">
        <f>[2]!PropsSI("D","T",$C26,"Q",1,$C$6)</f>
        <v>5.3416312139706124</v>
      </c>
      <c r="G26" s="21">
        <f>[2]!PropsSI("H","T",$C26,"Q",0,$C$6)/1000</f>
        <v>216.14487770896329</v>
      </c>
      <c r="H26" s="22">
        <f>[2]!PropsSI("H","T",$C26,"Q",1,$C$6)/1000</f>
        <v>563.74453972694653</v>
      </c>
      <c r="I26" s="1"/>
    </row>
    <row r="27" spans="1:9" x14ac:dyDescent="0.55000000000000004">
      <c r="A27" s="16"/>
      <c r="B27" s="17">
        <v>10</v>
      </c>
      <c r="C27" s="18">
        <f t="shared" si="0"/>
        <v>283.14999999999998</v>
      </c>
      <c r="D27" s="19">
        <f>[2]!PropsSI("P","T",C27,"Q",1,$C$6)/1000</f>
        <v>220.61441818173171</v>
      </c>
      <c r="E27" s="20">
        <f>[2]!PropsSI("D","T",$C27,"Q",0,$C$6)</f>
        <v>568.9231798848034</v>
      </c>
      <c r="F27" s="20">
        <f>[2]!PropsSI("D","T",$C27,"Q",1,$C$6)</f>
        <v>5.8670105750476935</v>
      </c>
      <c r="G27" s="21">
        <f>[2]!PropsSI("H","T",$C27,"Q",0,$C$6)/1000</f>
        <v>223.14894008415382</v>
      </c>
      <c r="H27" s="22">
        <f>[2]!PropsSI("H","T",$C27,"Q",1,$C$6)/1000</f>
        <v>567.77784849079751</v>
      </c>
      <c r="I27" s="1"/>
    </row>
    <row r="28" spans="1:9" x14ac:dyDescent="0.55000000000000004">
      <c r="A28" s="16"/>
      <c r="B28" s="17">
        <v>13</v>
      </c>
      <c r="C28" s="18">
        <f t="shared" si="0"/>
        <v>286.14999999999998</v>
      </c>
      <c r="D28" s="19">
        <f>[2]!PropsSI("P","T",C28,"Q",1,$C$6)/1000</f>
        <v>243.08035886476753</v>
      </c>
      <c r="E28" s="20">
        <f>[2]!PropsSI("D","T",$C28,"Q",0,$C$6)</f>
        <v>565.35015339597965</v>
      </c>
      <c r="F28" s="20">
        <f>[2]!PropsSI("D","T",$C28,"Q",1,$C$6)</f>
        <v>6.4315834911234901</v>
      </c>
      <c r="G28" s="21">
        <f>[2]!PropsSI("H","T",$C28,"Q",0,$C$6)/1000</f>
        <v>230.20546408050129</v>
      </c>
      <c r="H28" s="22">
        <f>[2]!PropsSI("H","T",$C28,"Q",1,$C$6)/1000</f>
        <v>571.81017623996752</v>
      </c>
      <c r="I28" s="1"/>
    </row>
    <row r="29" spans="1:9" x14ac:dyDescent="0.55000000000000004">
      <c r="A29" s="16"/>
      <c r="B29" s="17">
        <v>16</v>
      </c>
      <c r="C29" s="18">
        <f t="shared" si="0"/>
        <v>289.14999999999998</v>
      </c>
      <c r="D29" s="19">
        <f>[2]!PropsSI("P","T",C29,"Q",1,$C$6)/1000</f>
        <v>267.23881407518047</v>
      </c>
      <c r="E29" s="20">
        <f>[2]!PropsSI("D","T",$C29,"Q",0,$C$6)</f>
        <v>561.73839040200858</v>
      </c>
      <c r="F29" s="20">
        <f>[2]!PropsSI("D","T",$C29,"Q",1,$C$6)</f>
        <v>7.0374701148306249</v>
      </c>
      <c r="G29" s="21">
        <f>[2]!PropsSI("H","T",$C29,"Q",0,$C$6)/1000</f>
        <v>237.31558720786609</v>
      </c>
      <c r="H29" s="22">
        <f>[2]!PropsSI("H","T",$C29,"Q",1,$C$6)/1000</f>
        <v>575.84012476169084</v>
      </c>
      <c r="I29" s="1"/>
    </row>
    <row r="30" spans="1:9" x14ac:dyDescent="0.55000000000000004">
      <c r="A30" s="16"/>
      <c r="B30" s="17">
        <v>19</v>
      </c>
      <c r="C30" s="18">
        <f t="shared" si="0"/>
        <v>292.14999999999998</v>
      </c>
      <c r="D30" s="19">
        <f>[2]!PropsSI("P","T",C30,"Q",1,$C$6)/1000</f>
        <v>293.16924777318656</v>
      </c>
      <c r="E30" s="20">
        <f>[2]!PropsSI("D","T",$C30,"Q",0,$C$6)</f>
        <v>558.08595707048755</v>
      </c>
      <c r="F30" s="20">
        <f>[2]!PropsSI("D","T",$C30,"Q",1,$C$6)</f>
        <v>7.6868946108629572</v>
      </c>
      <c r="G30" s="21">
        <f>[2]!PropsSI("H","T",$C30,"Q",0,$C$6)/1000</f>
        <v>244.48049272712663</v>
      </c>
      <c r="H30" s="22">
        <f>[2]!PropsSI("H","T",$C30,"Q",1,$C$6)/1000</f>
        <v>579.86623154272513</v>
      </c>
      <c r="I30" s="1"/>
    </row>
    <row r="31" spans="1:9" x14ac:dyDescent="0.55000000000000004">
      <c r="A31" s="16"/>
      <c r="B31" s="17">
        <v>22</v>
      </c>
      <c r="C31" s="18">
        <f t="shared" si="0"/>
        <v>295.14999999999998</v>
      </c>
      <c r="D31" s="19">
        <f>[2]!PropsSI("P","T",C31,"Q",1,$C$6)/1000</f>
        <v>320.95227450959709</v>
      </c>
      <c r="E31" s="20">
        <f>[2]!PropsSI("D","T",$C31,"Q",0,$C$6)</f>
        <v>554.39079060802646</v>
      </c>
      <c r="F31" s="20">
        <f>[2]!PropsSI("D","T",$C31,"Q",1,$C$6)</f>
        <v>8.3821953093001511</v>
      </c>
      <c r="G31" s="21">
        <f>[2]!PropsSI("H","T",$C31,"Q",0,$C$6)/1000</f>
        <v>251.70141404952457</v>
      </c>
      <c r="H31" s="22">
        <f>[2]!PropsSI("H","T",$C31,"Q",1,$C$6)/1000</f>
        <v>583.88696275999177</v>
      </c>
      <c r="I31" s="1"/>
    </row>
    <row r="32" spans="1:9" x14ac:dyDescent="0.55000000000000004">
      <c r="A32" s="16"/>
      <c r="B32" s="17">
        <v>25</v>
      </c>
      <c r="C32" s="18">
        <f t="shared" si="0"/>
        <v>298.14999999999998</v>
      </c>
      <c r="D32" s="19">
        <f>[2]!PropsSI("P","T",C32,"Q",1,$C$6)/1000</f>
        <v>350.66962756803474</v>
      </c>
      <c r="E32" s="20">
        <f>[2]!PropsSI("D","T",$C32,"Q",0,$C$6)</f>
        <v>550.65068678246473</v>
      </c>
      <c r="F32" s="20">
        <f>[2]!PropsSI("D","T",$C32,"Q",1,$C$6)</f>
        <v>9.125836247830529</v>
      </c>
      <c r="G32" s="21">
        <f>[2]!PropsSI("H","T",$C32,"Q",0,$C$6)/1000</f>
        <v>258.97963972229866</v>
      </c>
      <c r="H32" s="22">
        <f>[2]!PropsSI("H","T",$C32,"Q",1,$C$6)/1000</f>
        <v>587.90070603590573</v>
      </c>
      <c r="I32" s="1"/>
    </row>
    <row r="33" spans="1:9" x14ac:dyDescent="0.55000000000000004">
      <c r="A33" s="16"/>
      <c r="B33" s="17">
        <v>28</v>
      </c>
      <c r="C33" s="18">
        <f t="shared" si="0"/>
        <v>301.14999999999998</v>
      </c>
      <c r="D33" s="19">
        <f>[2]!PropsSI("P","T",C33,"Q",1,$C$6)/1000</f>
        <v>382.40413438813795</v>
      </c>
      <c r="E33" s="20">
        <f>[2]!PropsSI("D","T",$C33,"Q",0,$C$6)</f>
        <v>546.86328588003244</v>
      </c>
      <c r="F33" s="20">
        <f>[2]!PropsSI("D","T",$C33,"Q",1,$C$6)</f>
        <v>9.9204203155190989</v>
      </c>
      <c r="G33" s="21">
        <f>[2]!PropsSI("H","T",$C33,"Q",0,$C$6)/1000</f>
        <v>266.31651908193601</v>
      </c>
      <c r="H33" s="22">
        <f>[2]!PropsSI("H","T",$C33,"Q",1,$C$6)/1000</f>
        <v>591.90576306482808</v>
      </c>
      <c r="I33" s="1"/>
    </row>
    <row r="34" spans="1:9" x14ac:dyDescent="0.55000000000000004">
      <c r="A34" s="16"/>
      <c r="B34" s="17">
        <v>31</v>
      </c>
      <c r="C34" s="18">
        <f t="shared" si="0"/>
        <v>304.14999999999998</v>
      </c>
      <c r="D34" s="19">
        <f>[2]!PropsSI("P","T",C34,"Q",1,$C$6)/1000</f>
        <v>416.23970008716503</v>
      </c>
      <c r="E34" s="20">
        <f>[2]!PropsSI("D","T",$C34,"Q",0,$C$6)</f>
        <v>543.02605685169226</v>
      </c>
      <c r="F34" s="20">
        <f>[2]!PropsSI("D","T",$C34,"Q",1,$C$6)</f>
        <v>10.768704262872156</v>
      </c>
      <c r="G34" s="21">
        <f>[2]!PropsSI("H","T",$C34,"Q",0,$C$6)/1000</f>
        <v>273.7134686717809</v>
      </c>
      <c r="H34" s="22">
        <f>[2]!PropsSI("H","T",$C34,"Q",1,$C$6)/1000</f>
        <v>595.90034199365766</v>
      </c>
      <c r="I34" s="1"/>
    </row>
    <row r="35" spans="1:9" x14ac:dyDescent="0.55000000000000004">
      <c r="A35" s="16"/>
      <c r="B35" s="17">
        <v>34</v>
      </c>
      <c r="C35" s="18">
        <f t="shared" si="0"/>
        <v>307.14999999999998</v>
      </c>
      <c r="D35" s="19">
        <f>[2]!PropsSI("P","T",C35,"Q",1,$C$6)/1000</f>
        <v>452.26130009517647</v>
      </c>
      <c r="E35" s="20">
        <f>[2]!PropsSI("D","T",$C35,"Q",0,$C$6)</f>
        <v>539.13627935628915</v>
      </c>
      <c r="F35" s="20">
        <f>[2]!PropsSI("D","T",$C35,"Q",1,$C$6)</f>
        <v>11.673615910055652</v>
      </c>
      <c r="G35" s="21">
        <f>[2]!PropsSI("H","T",$C35,"Q",0,$C$6)/1000</f>
        <v>281.17197953961403</v>
      </c>
      <c r="H35" s="22">
        <f>[2]!PropsSI("H","T",$C35,"Q",1,$C$6)/1000</f>
        <v>599.88254893220517</v>
      </c>
      <c r="I35" s="1"/>
    </row>
    <row r="36" spans="1:9" x14ac:dyDescent="0.55000000000000004">
      <c r="A36" s="16"/>
      <c r="B36" s="17">
        <v>37</v>
      </c>
      <c r="C36" s="18">
        <f t="shared" si="0"/>
        <v>310.14999999999998</v>
      </c>
      <c r="D36" s="19">
        <f>[2]!PropsSI("P","T",C36,"Q",1,$C$6)/1000</f>
        <v>490.55498311955881</v>
      </c>
      <c r="E36" s="20">
        <f>[2]!PropsSI("D","T",$C36,"Q",0,$C$6)</f>
        <v>535.19102335106697</v>
      </c>
      <c r="F36" s="20">
        <f>[2]!PropsSI("D","T",$C36,"Q",1,$C$6)</f>
        <v>12.638273967795801</v>
      </c>
      <c r="G36" s="21">
        <f>[2]!PropsSI("H","T",$C36,"Q",0,$C$6)/1000</f>
        <v>288.69362555398487</v>
      </c>
      <c r="H36" s="22">
        <f>[2]!PropsSI("H","T",$C36,"Q",1,$C$6)/1000</f>
        <v>603.85037716352849</v>
      </c>
      <c r="I36" s="1"/>
    </row>
    <row r="37" spans="1:9" x14ac:dyDescent="0.55000000000000004">
      <c r="A37" s="16"/>
      <c r="B37" s="17">
        <v>40</v>
      </c>
      <c r="C37" s="18">
        <f t="shared" si="0"/>
        <v>313.14999999999998</v>
      </c>
      <c r="D37" s="19">
        <f>[2]!PropsSI("P","T",C37,"Q",1,$C$6)/1000</f>
        <v>531.20788577168912</v>
      </c>
      <c r="E37" s="20">
        <f>[2]!PropsSI("D","T",$C37,"Q",0,$C$6)</f>
        <v>531.18712580938188</v>
      </c>
      <c r="F37" s="20">
        <f>[2]!PropsSI("D","T",$C37,"Q",1,$C$6)</f>
        <v>13.666010981084751</v>
      </c>
      <c r="G37" s="21">
        <f>[2]!PropsSI("H","T",$C37,"Q",0,$C$6)/1000</f>
        <v>296.28007290679375</v>
      </c>
      <c r="H37" s="22">
        <f>[2]!PropsSI("H","T",$C37,"Q",1,$C$6)/1000</f>
        <v>607.80169167727945</v>
      </c>
      <c r="I37" s="1"/>
    </row>
    <row r="38" spans="1:9" x14ac:dyDescent="0.55000000000000004">
      <c r="A38" s="16"/>
      <c r="B38" s="17">
        <v>43</v>
      </c>
      <c r="C38" s="18">
        <f t="shared" si="0"/>
        <v>316.14999999999998</v>
      </c>
      <c r="D38" s="19">
        <f>[2]!PropsSI("P","T",C38,"Q",1,$C$6)/1000</f>
        <v>574.30826012423961</v>
      </c>
      <c r="E38" s="20">
        <f>[2]!PropsSI("D","T",$C38,"Q",0,$C$6)</f>
        <v>527.12116405688221</v>
      </c>
      <c r="F38" s="20">
        <f>[2]!PropsSI("D","T",$C38,"Q",1,$C$6)</f>
        <v>14.760400008252077</v>
      </c>
      <c r="G38" s="21">
        <f>[2]!PropsSI("H","T",$C38,"Q",0,$C$6)/1000</f>
        <v>303.93309100563823</v>
      </c>
      <c r="H38" s="22">
        <f>[2]!PropsSI("H","T",$C38,"Q",1,$C$6)/1000</f>
        <v>611.73420592088519</v>
      </c>
      <c r="I38" s="1"/>
    </row>
    <row r="39" spans="1:9" x14ac:dyDescent="0.55000000000000004">
      <c r="A39" s="16"/>
      <c r="B39" s="17">
        <v>46</v>
      </c>
      <c r="C39" s="18">
        <f t="shared" si="0"/>
        <v>319.14999999999998</v>
      </c>
      <c r="D39" s="19">
        <f>[2]!PropsSI("P","T",C39,"Q",1,$C$6)/1000</f>
        <v>619.94551513797069</v>
      </c>
      <c r="E39" s="20">
        <f>[2]!PropsSI("D","T",$C39,"Q",0,$C$6)</f>
        <v>522.98942510501774</v>
      </c>
      <c r="F39" s="20">
        <f>[2]!PropsSI("D","T",$C39,"Q",1,$C$6)</f>
        <v>15.92528574949001</v>
      </c>
      <c r="G39" s="21">
        <f>[2]!PropsSI("H","T",$C39,"Q",0,$C$6)/1000</f>
        <v>311.6545650053813</v>
      </c>
      <c r="H39" s="22">
        <f>[2]!PropsSI("H","T",$C39,"Q",1,$C$6)/1000</f>
        <v>615.64544763908248</v>
      </c>
      <c r="I39" s="1"/>
    </row>
    <row r="40" spans="1:9" x14ac:dyDescent="0.55000000000000004">
      <c r="A40" s="16"/>
      <c r="B40" s="17">
        <v>49</v>
      </c>
      <c r="C40" s="18">
        <f t="shared" si="0"/>
        <v>322.14999999999998</v>
      </c>
      <c r="D40" s="19">
        <f>[2]!PropsSI("P","T",C40,"Q",1,$C$6)/1000</f>
        <v>668.21027226297315</v>
      </c>
      <c r="E40" s="20">
        <f>[2]!PropsSI("D","T",$C40,"Q",0,$C$6)</f>
        <v>518.78787021616574</v>
      </c>
      <c r="F40" s="20">
        <f>[2]!PropsSI("D","T",$C40,"Q",1,$C$6)</f>
        <v>17.164820934457246</v>
      </c>
      <c r="G40" s="21">
        <f>[2]!PropsSI("H","T",$C40,"Q",0,$C$6)/1000</f>
        <v>319.44651028796358</v>
      </c>
      <c r="H40" s="22">
        <f>[2]!PropsSI("H","T",$C40,"Q",1,$C$6)/1000</f>
        <v>619.53271175797067</v>
      </c>
      <c r="I40" s="1"/>
    </row>
    <row r="41" spans="1:9" x14ac:dyDescent="0.55000000000000004">
      <c r="A41" s="16"/>
      <c r="B41" s="17">
        <v>52</v>
      </c>
      <c r="C41" s="18">
        <f t="shared" si="0"/>
        <v>325.14999999999998</v>
      </c>
      <c r="D41" s="19">
        <f>[2]!PropsSI("P","T",C41,"Q",1,$C$6)/1000</f>
        <v>719.19443470108808</v>
      </c>
      <c r="E41" s="20">
        <f>[2]!PropsSI("D","T",$C41,"Q",0,$C$6)</f>
        <v>514.51209374646317</v>
      </c>
      <c r="F41" s="20">
        <f>[2]!PropsSI("D","T",$C41,"Q",1,$C$6)</f>
        <v>18.483508871786118</v>
      </c>
      <c r="G41" s="21">
        <f>[2]!PropsSI("H","T",$C41,"Q",0,$C$6)/1000</f>
        <v>327.31108927787085</v>
      </c>
      <c r="H41" s="22">
        <f>[2]!PropsSI("H","T",$C41,"Q",1,$C$6)/1000</f>
        <v>623.39300053636225</v>
      </c>
      <c r="I41" s="1"/>
    </row>
    <row r="42" spans="1:9" x14ac:dyDescent="0.55000000000000004">
      <c r="A42" s="16"/>
      <c r="B42" s="17">
        <v>55</v>
      </c>
      <c r="C42" s="18">
        <f t="shared" si="0"/>
        <v>328.15</v>
      </c>
      <c r="D42" s="19">
        <f>[2]!PropsSI("P","T",C42,"Q",1,$C$6)/1000</f>
        <v>772.99126901924365</v>
      </c>
      <c r="E42" s="20">
        <f>[2]!PropsSI("D","T",$C42,"Q",0,$C$6)</f>
        <v>510.15727506463674</v>
      </c>
      <c r="F42" s="20">
        <f>[2]!PropsSI("D","T",$C42,"Q",1,$C$6)</f>
        <v>19.886253172470091</v>
      </c>
      <c r="G42" s="21">
        <f>[2]!PropsSI("H","T",$C42,"Q",0,$C$6)/1000</f>
        <v>335.25063108445687</v>
      </c>
      <c r="H42" s="22">
        <f>[2]!PropsSI("H","T",$C42,"Q",1,$C$6)/1000</f>
        <v>627.22295421625643</v>
      </c>
      <c r="I42" s="1"/>
    </row>
    <row r="43" spans="1:9" x14ac:dyDescent="0.55000000000000004">
      <c r="A43" s="16"/>
      <c r="B43" s="17">
        <v>58</v>
      </c>
      <c r="C43" s="18">
        <f t="shared" si="0"/>
        <v>331.15</v>
      </c>
      <c r="D43" s="19">
        <f>[2]!PropsSI("P","T",C43,"Q",1,$C$6)/1000</f>
        <v>829.69549736642739</v>
      </c>
      <c r="E43" s="20">
        <f>[2]!PropsSI("D","T",$C43,"Q",0,$C$6)</f>
        <v>505.71812201634481</v>
      </c>
      <c r="F43" s="20">
        <f>[2]!PropsSI("D","T",$C43,"Q",1,$C$6)</f>
        <v>21.378415819931863</v>
      </c>
      <c r="G43" s="21">
        <f>[2]!PropsSI("H","T",$C43,"Q",0,$C$6)/1000</f>
        <v>343.26765459941623</v>
      </c>
      <c r="H43" s="22">
        <f>[2]!PropsSI("H","T",$C43,"Q",1,$C$6)/1000</f>
        <v>631.0187782409032</v>
      </c>
      <c r="I43" s="1"/>
    </row>
    <row r="44" spans="1:9" x14ac:dyDescent="0.55000000000000004">
      <c r="A44" s="16"/>
      <c r="B44" s="17">
        <v>61</v>
      </c>
      <c r="C44" s="18">
        <f t="shared" si="0"/>
        <v>334.15</v>
      </c>
      <c r="D44" s="19">
        <f>[2]!PropsSI("P","T",C44,"Q",1,$C$6)/1000</f>
        <v>889.40339876369546</v>
      </c>
      <c r="E44" s="20">
        <f>[2]!PropsSI("D","T",$C44,"Q",0,$C$6)</f>
        <v>501.18880396513674</v>
      </c>
      <c r="F44" s="20">
        <f>[2]!PropsSI("D","T",$C44,"Q",1,$C$6)</f>
        <v>22.965885024645619</v>
      </c>
      <c r="G44" s="21">
        <f>[2]!PropsSI("H","T",$C44,"Q",0,$C$6)/1000</f>
        <v>351.36489585678476</v>
      </c>
      <c r="H44" s="22">
        <f>[2]!PropsSI("H","T",$C44,"Q",1,$C$6)/1000</f>
        <v>634.77617465609967</v>
      </c>
      <c r="I44" s="1"/>
    </row>
    <row r="45" spans="1:9" x14ac:dyDescent="0.55000000000000004">
      <c r="A45" s="16"/>
      <c r="B45" s="17">
        <v>64</v>
      </c>
      <c r="C45" s="18">
        <f t="shared" si="0"/>
        <v>337.15</v>
      </c>
      <c r="D45" s="19">
        <f>[2]!PropsSI("P","T",C45,"Q",1,$C$6)/1000</f>
        <v>952.21291901707298</v>
      </c>
      <c r="E45" s="20">
        <f>[2]!PropsSI("D","T",$C45,"Q",0,$C$6)</f>
        <v>496.56287185652371</v>
      </c>
      <c r="F45" s="20">
        <f>[2]!PropsSI("D","T",$C45,"Q",1,$C$6)</f>
        <v>24.65515473269285</v>
      </c>
      <c r="G45" s="21">
        <f>[2]!PropsSI("H","T",$C45,"Q",0,$C$6)/1000</f>
        <v>359.54534069338251</v>
      </c>
      <c r="H45" s="22">
        <f>[2]!PropsSI("H","T",$C45,"Q",1,$C$6)/1000</f>
        <v>638.49028467361654</v>
      </c>
      <c r="I45" s="1"/>
    </row>
    <row r="46" spans="1:9" x14ac:dyDescent="0.55000000000000004">
      <c r="A46" s="1"/>
      <c r="B46" s="1">
        <v>67</v>
      </c>
      <c r="C46" s="18">
        <f t="shared" si="0"/>
        <v>340.15</v>
      </c>
      <c r="D46" s="19">
        <f>[2]!PropsSI("P","T",C46,"Q",1,$C$6)/1000</f>
        <v>1018.2237907199599</v>
      </c>
      <c r="E46" s="20">
        <f>[2]!PropsSI("D","T",$C46,"Q",0,$C$6)</f>
        <v>491.8331619741835</v>
      </c>
      <c r="F46" s="20">
        <f>[2]!PropsSI("D","T",$C46,"Q",1,$C$6)</f>
        <v>26.453418323248208</v>
      </c>
      <c r="G46" s="21">
        <f>[2]!PropsSI("H","T",$C46,"Q",0,$C$6)/1000</f>
        <v>367.81226404079251</v>
      </c>
      <c r="H46" s="22">
        <f>[2]!PropsSI("H","T",$C46,"Q",1,$C$6)/1000</f>
        <v>642.15564626347168</v>
      </c>
      <c r="I46" s="1"/>
    </row>
    <row r="47" spans="1:9" x14ac:dyDescent="0.55000000000000004">
      <c r="B47">
        <v>70</v>
      </c>
      <c r="C47" s="18">
        <f t="shared" si="0"/>
        <v>343.15</v>
      </c>
      <c r="D47" s="19">
        <f>[2]!PropsSI("P","T",C47,"Q",1,$C$6)/1000</f>
        <v>1087.5376673685512</v>
      </c>
      <c r="E47" s="20">
        <f>[2]!PropsSI("D","T",$C47,"Q",0,$C$6)</f>
        <v>486.9916790280684</v>
      </c>
      <c r="F47" s="20">
        <f>[2]!PropsSI("D","T",$C47,"Q",1,$C$6)</f>
        <v>28.368679996740273</v>
      </c>
      <c r="G47" s="21">
        <f>[2]!PropsSI("H","T",$C47,"Q",0,$C$6)/1000</f>
        <v>376.16927755224043</v>
      </c>
      <c r="H47" s="22">
        <f>[2]!PropsSI("H","T",$C47,"Q",1,$C$6)/1000</f>
        <v>645.76616553072461</v>
      </c>
    </row>
    <row r="48" spans="1:9" x14ac:dyDescent="0.55000000000000004">
      <c r="B48">
        <v>73</v>
      </c>
      <c r="C48" s="18">
        <f t="shared" si="0"/>
        <v>346.15</v>
      </c>
      <c r="D48" s="19">
        <f>[2]!PropsSI("P","T",C48,"Q",1,$C$6)/1000</f>
        <v>1160.2582780716766</v>
      </c>
      <c r="E48" s="20">
        <f>[2]!PropsSI("D","T",$C48,"Q",0,$C$6)</f>
        <v>482.02945285074088</v>
      </c>
      <c r="F48" s="20">
        <f>[2]!PropsSI("D","T",$C48,"Q",1,$C$6)</f>
        <v>30.409888696837669</v>
      </c>
      <c r="G48" s="21">
        <f>[2]!PropsSI("H","T",$C48,"Q",0,$C$6)/1000</f>
        <v>384.62038774780751</v>
      </c>
      <c r="H48" s="22">
        <f>[2]!PropsSI("H","T",$C48,"Q",1,$C$6)/1000</f>
        <v>649.31509461978078</v>
      </c>
    </row>
    <row r="49" spans="2:8" x14ac:dyDescent="0.55000000000000004">
      <c r="B49">
        <v>76</v>
      </c>
      <c r="C49" s="18">
        <f t="shared" si="0"/>
        <v>349.15</v>
      </c>
      <c r="D49" s="19">
        <f>[2]!PropsSI("P","T",C49,"Q",1,$C$6)/1000</f>
        <v>1236.4916126878757</v>
      </c>
      <c r="E49" s="20">
        <f>[2]!PropsSI("D","T",$C49,"Q",0,$C$6)</f>
        <v>476.93636117968617</v>
      </c>
      <c r="F49" s="20">
        <f>[2]!PropsSI("D","T",$C49,"Q",1,$C$6)</f>
        <v>32.58710122127713</v>
      </c>
      <c r="G49" s="21">
        <f>[2]!PropsSI("H","T",$C49,"Q",0,$C$6)/1000</f>
        <v>393.17006749943027</v>
      </c>
      <c r="H49" s="22">
        <f>[2]!PropsSI("H","T",$C49,"Q",1,$C$6)/1000</f>
        <v>652.79500330068856</v>
      </c>
    </row>
    <row r="50" spans="2:8" x14ac:dyDescent="0.55000000000000004">
      <c r="B50">
        <v>79</v>
      </c>
      <c r="C50" s="18">
        <f t="shared" si="0"/>
        <v>352.15</v>
      </c>
      <c r="D50" s="19">
        <f>[2]!PropsSI("P","T",C50,"Q",1,$C$6)/1000</f>
        <v>1316.3461475511119</v>
      </c>
      <c r="E50" s="20">
        <f>[2]!PropsSI("D","T",$C50,"Q",0,$C$6)</f>
        <v>471.70090855835207</v>
      </c>
      <c r="F50" s="20">
        <f>[2]!PropsSI("D","T",$C50,"Q",1,$C$6)</f>
        <v>34.911683609096599</v>
      </c>
      <c r="G50" s="21">
        <f>[2]!PropsSI("H","T",$C50,"Q",0,$C$6)/1000</f>
        <v>401.82334456562762</v>
      </c>
      <c r="H50" s="22">
        <f>[2]!PropsSI("H","T",$C50,"Q",1,$C$6)/1000</f>
        <v>656.19772730035618</v>
      </c>
    </row>
    <row r="51" spans="2:8" x14ac:dyDescent="0.55000000000000004">
      <c r="B51">
        <v>82</v>
      </c>
      <c r="C51" s="18">
        <f t="shared" si="0"/>
        <v>355.15</v>
      </c>
      <c r="D51" s="19">
        <f>[2]!PropsSI("P","T",C51,"Q",1,$C$6)/1000</f>
        <v>1399.9331251292749</v>
      </c>
      <c r="E51" s="20">
        <f>[2]!PropsSI("D","T",$C51,"Q",0,$C$6)</f>
        <v>466.30994806281643</v>
      </c>
      <c r="F51" s="20">
        <f>[2]!PropsSI("D","T",$C51,"Q",1,$C$6)</f>
        <v>37.396563198256509</v>
      </c>
      <c r="G51" s="21">
        <f>[2]!PropsSI("H","T",$C51,"Q",0,$C$6)/1000</f>
        <v>410.58591216635915</v>
      </c>
      <c r="H51" s="22">
        <f>[2]!PropsSI("H","T",$C51,"Q",1,$C$6)/1000</f>
        <v>659.51427428206352</v>
      </c>
    </row>
    <row r="52" spans="2:8" x14ac:dyDescent="0.55000000000000004">
      <c r="B52">
        <v>85</v>
      </c>
      <c r="C52" s="18">
        <f t="shared" si="0"/>
        <v>358.15</v>
      </c>
      <c r="D52" s="19">
        <f>[2]!PropsSI("P","T",C52,"Q",1,$C$6)/1000</f>
        <v>1487.3669006289458</v>
      </c>
      <c r="E52" s="20">
        <f>[2]!PropsSI("D","T",$C52,"Q",0,$C$6)</f>
        <v>460.74832781229406</v>
      </c>
      <c r="F52" s="20">
        <f>[2]!PropsSI("D","T",$C52,"Q",1,$C$6)</f>
        <v>40.056548357157645</v>
      </c>
      <c r="G52" s="21">
        <f>[2]!PropsSI("H","T",$C52,"Q",0,$C$6)/1000</f>
        <v>419.46426849764089</v>
      </c>
      <c r="H52" s="22">
        <f>[2]!PropsSI("H","T",$C52,"Q",1,$C$6)/1000</f>
        <v>662.73466777284602</v>
      </c>
    </row>
    <row r="53" spans="2:8" x14ac:dyDescent="0.55000000000000004">
      <c r="B53">
        <v>88</v>
      </c>
      <c r="C53" s="18">
        <f t="shared" si="0"/>
        <v>361.15</v>
      </c>
      <c r="D53" s="19">
        <f>[2]!PropsSI("P","T",C53,"Q",1,$C$6)/1000</f>
        <v>1578.7653701015111</v>
      </c>
      <c r="E53" s="20">
        <f>[2]!PropsSI("D","T",$C53,"Q",0,$C$6)</f>
        <v>454.99843729555738</v>
      </c>
      <c r="F53" s="20">
        <f>[2]!PropsSI("D","T",$C53,"Q",1,$C$6)</f>
        <v>42.908739524399579</v>
      </c>
      <c r="G53" s="21">
        <f>[2]!PropsSI("H","T",$C53,"Q",0,$C$6)/1000</f>
        <v>428.46589497640173</v>
      </c>
      <c r="H53" s="22">
        <f>[2]!PropsSI("H","T",$C53,"Q",1,$C$6)/1000</f>
        <v>665.84770914714522</v>
      </c>
    </row>
    <row r="54" spans="2:8" x14ac:dyDescent="0.55000000000000004">
      <c r="B54">
        <v>91</v>
      </c>
      <c r="C54" s="18">
        <f t="shared" si="0"/>
        <v>364.15</v>
      </c>
      <c r="D54" s="19">
        <f>[2]!PropsSI("P","T",C54,"Q",1,$C$6)/1000</f>
        <v>1674.2504962111032</v>
      </c>
      <c r="E54" s="20">
        <f>[2]!PropsSI("D","T",$C54,"Q",0,$C$6)</f>
        <v>449.03961808875238</v>
      </c>
      <c r="F54" s="20">
        <f>[2]!PropsSI("D","T",$C54,"Q",1,$C$6)</f>
        <v>45.973065040020906</v>
      </c>
      <c r="G54" s="21">
        <f>[2]!PropsSI("H","T",$C54,"Q",0,$C$6)/1000</f>
        <v>437.59948743863356</v>
      </c>
      <c r="H54" s="22">
        <f>[2]!PropsSI("H","T",$C54,"Q",1,$C$6)/1000</f>
        <v>668.84063624700377</v>
      </c>
    </row>
    <row r="55" spans="2:8" x14ac:dyDescent="0.55000000000000004">
      <c r="B55">
        <v>94</v>
      </c>
      <c r="C55" s="18">
        <f t="shared" si="0"/>
        <v>367.15</v>
      </c>
      <c r="D55" s="19">
        <f>[2]!PropsSI("P","T",C55,"Q",1,$C$6)/1000</f>
        <v>1773.9489523255145</v>
      </c>
      <c r="E55" s="20">
        <f>[2]!PropsSI("D","T",$C55,"Q",0,$C$6)</f>
        <v>442.8473873526907</v>
      </c>
      <c r="F55" s="20">
        <f>[2]!PropsSI("D","T",$C55,"Q",1,$C$6)</f>
        <v>49.272990333430641</v>
      </c>
      <c r="G55" s="21">
        <f>[2]!PropsSI("H","T",$C55,"Q",0,$C$6)/1000</f>
        <v>446.87526138377484</v>
      </c>
      <c r="H55" s="22">
        <f>[2]!PropsSI("H","T",$C55,"Q",1,$C$6)/1000</f>
        <v>671.69865210923786</v>
      </c>
    </row>
    <row r="56" spans="2:8" x14ac:dyDescent="0.55000000000000004">
      <c r="B56">
        <v>97</v>
      </c>
      <c r="C56" s="18">
        <f t="shared" si="0"/>
        <v>370.15</v>
      </c>
      <c r="D56" s="19">
        <f>[2]!PropsSI("P","T",C56,"Q",1,$C$6)/1000</f>
        <v>1877.9929097928784</v>
      </c>
      <c r="E56" s="20">
        <f>[2]!PropsSI("D","T",$C56,"Q",0,$C$6)</f>
        <v>436.39239670579269</v>
      </c>
      <c r="F56" s="20">
        <f>[2]!PropsSI("D","T",$C56,"Q",1,$C$6)</f>
        <v>52.83647281964906</v>
      </c>
      <c r="G56" s="21">
        <f>[2]!PropsSI("H","T",$C56,"Q",0,$C$6)/1000</f>
        <v>456.30536320483054</v>
      </c>
      <c r="H56" s="22">
        <f>[2]!PropsSI("H","T",$C56,"Q",1,$C$6)/1000</f>
        <v>674.40428570155336</v>
      </c>
    </row>
  </sheetData>
  <mergeCells count="1">
    <mergeCell ref="B2:H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saturation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2024-12-15T00:22:58Z</dcterms:created>
  <dcterms:modified xsi:type="dcterms:W3CDTF">2024-12-15T00:52:22Z</dcterms:modified>
</cp:coreProperties>
</file>