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esktop\Excel Projects\"/>
    </mc:Choice>
  </mc:AlternateContent>
  <xr:revisionPtr revIDLastSave="0" documentId="13_ncr:1_{292D2C9F-AB1D-457B-8022-6C6ED663046C}" xr6:coauthVersionLast="47" xr6:coauthVersionMax="47" xr10:uidLastSave="{00000000-0000-0000-0000-000000000000}"/>
  <bookViews>
    <workbookView xWindow="-96" yWindow="-96" windowWidth="23232" windowHeight="12552" xr2:uid="{E6C3687D-BA56-43B4-9D3E-F730093E451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" i="1" l="1"/>
  <c r="W11" i="1"/>
  <c r="W6" i="1"/>
  <c r="W5" i="1"/>
  <c r="E5" i="1" a="1"/>
  <c r="E11" i="1" a="1"/>
  <c r="K6" i="1" a="1"/>
  <c r="E6" i="1" a="1"/>
  <c r="K5" i="1" a="1"/>
  <c r="K12" i="1" a="1"/>
  <c r="E12" i="1" a="1"/>
  <c r="K11" i="1" a="1"/>
  <c r="K11" i="1" l="1"/>
  <c r="E12" i="1"/>
  <c r="K12" i="1"/>
  <c r="K5" i="1"/>
  <c r="E6" i="1"/>
  <c r="K6" i="1"/>
  <c r="E11" i="1"/>
  <c r="E5" i="1"/>
  <c r="G12" i="1" a="1"/>
  <c r="G6" i="1" a="1"/>
  <c r="G5" i="1" a="1"/>
  <c r="G11" i="1" a="1"/>
  <c r="G11" i="1" l="1"/>
  <c r="G5" i="1"/>
  <c r="G6" i="1"/>
  <c r="G12" i="1"/>
  <c r="O12" i="1" a="1"/>
  <c r="Q12" i="1" a="1"/>
  <c r="O6" i="1" a="1"/>
  <c r="O5" i="1" a="1"/>
  <c r="Q6" i="1" a="1"/>
  <c r="O11" i="1" a="1"/>
  <c r="Q11" i="1" a="1"/>
  <c r="Q5" i="1" a="1"/>
  <c r="Q5" i="1" l="1"/>
  <c r="S5" i="1" s="1"/>
  <c r="Q11" i="1"/>
  <c r="S11" i="1" s="1"/>
  <c r="O11" i="1"/>
  <c r="U11" i="1" s="1"/>
  <c r="Y11" i="1" s="1"/>
  <c r="AA11" i="1" s="1"/>
  <c r="Q6" i="1"/>
  <c r="S6" i="1" s="1"/>
  <c r="O5" i="1"/>
  <c r="U5" i="1" s="1"/>
  <c r="Y5" i="1" s="1"/>
  <c r="AA5" i="1" s="1"/>
  <c r="O6" i="1"/>
  <c r="U6" i="1" s="1"/>
  <c r="Q12" i="1"/>
  <c r="S12" i="1" s="1"/>
  <c r="O12" i="1"/>
  <c r="U12" i="1" s="1"/>
  <c r="Y12" i="1" l="1"/>
  <c r="AA12" i="1" s="1"/>
  <c r="Y6" i="1"/>
  <c r="AA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<sst xmlns="http://schemas.openxmlformats.org/spreadsheetml/2006/main" count="39" uniqueCount="19">
  <si>
    <t>Superheat *C</t>
  </si>
  <si>
    <t>Specific Volume</t>
  </si>
  <si>
    <t>Densty</t>
  </si>
  <si>
    <t xml:space="preserve">Enthalpy at supeheat </t>
  </si>
  <si>
    <t>Enthalpy at bubble</t>
  </si>
  <si>
    <t>T_bubble</t>
  </si>
  <si>
    <t>Tsat at superheat</t>
  </si>
  <si>
    <t>delta H</t>
  </si>
  <si>
    <t>desired heat wattage</t>
  </si>
  <si>
    <t>kg/s for wattage</t>
  </si>
  <si>
    <t>m3/s for wattage</t>
  </si>
  <si>
    <t>L/min</t>
  </si>
  <si>
    <t>Compound</t>
  </si>
  <si>
    <t>water</t>
  </si>
  <si>
    <t>Initial Pressure</t>
  </si>
  <si>
    <t>Final Pressure</t>
  </si>
  <si>
    <t>isobutane</t>
  </si>
  <si>
    <t>Yellow = Modifiable Value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</si>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</sst>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64" fontId="0" fillId="0" borderId="0" xfId="0" applyNumberFormat="1"/>
    <xf numFmtId="2" fontId="0" fillId="0" borderId="0" xfId="0" applyNumberFormat="1"/>
    <xf numFmtId="0" fontId="0" fillId="3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lle\AppData\Roaming\Microsoft\AddIns\CoolProp.xlam" TargetMode="External"/><Relationship Id="rId1" Type="http://schemas.openxmlformats.org/officeDocument/2006/relationships/externalLinkPath" Target="/Users/wille/AppData/Roaming/Microsoft/AddIns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9A8E2-6818-45B4-8A6C-AFBB5BEEACB1}">
  <dimension ref="A1:AA16"/>
  <sheetViews>
    <sheetView tabSelected="1" topLeftCell="P3" workbookViewId="0">
      <selection activeCell="W3" sqref="W3"/>
    </sheetView>
  </sheetViews>
  <sheetFormatPr defaultRowHeight="14.4" x14ac:dyDescent="0.55000000000000004"/>
  <cols>
    <col min="2" max="2" width="13.47265625" customWidth="1"/>
    <col min="9" max="9" width="8.83984375" style="1"/>
    <col min="11" max="11" width="11.68359375" bestFit="1" customWidth="1"/>
    <col min="17" max="17" width="11.68359375" bestFit="1" customWidth="1"/>
    <col min="23" max="23" width="17.41796875" customWidth="1"/>
    <col min="25" max="25" width="20.734375" customWidth="1"/>
    <col min="27" max="27" width="10.20703125" bestFit="1" customWidth="1"/>
  </cols>
  <sheetData>
    <row r="1" spans="1:27" x14ac:dyDescent="0.55000000000000004">
      <c r="U1" t="s">
        <v>8</v>
      </c>
      <c r="W1" t="s">
        <v>18</v>
      </c>
    </row>
    <row r="2" spans="1:27" x14ac:dyDescent="0.55000000000000004">
      <c r="B2" s="5" t="s">
        <v>17</v>
      </c>
      <c r="C2" s="5"/>
      <c r="D2" s="5"/>
      <c r="U2">
        <v>6000</v>
      </c>
      <c r="W2" s="6">
        <v>0.7</v>
      </c>
    </row>
    <row r="4" spans="1:27" x14ac:dyDescent="0.55000000000000004">
      <c r="A4" t="s">
        <v>12</v>
      </c>
      <c r="B4" t="s">
        <v>14</v>
      </c>
      <c r="C4" t="s">
        <v>15</v>
      </c>
      <c r="E4" t="s">
        <v>5</v>
      </c>
      <c r="G4" t="s">
        <v>4</v>
      </c>
      <c r="K4" t="s">
        <v>6</v>
      </c>
      <c r="M4" t="s">
        <v>0</v>
      </c>
      <c r="O4" t="s">
        <v>3</v>
      </c>
      <c r="Q4" t="s">
        <v>2</v>
      </c>
      <c r="S4" t="s">
        <v>1</v>
      </c>
      <c r="U4" t="s">
        <v>7</v>
      </c>
      <c r="W4" t="s">
        <v>9</v>
      </c>
      <c r="Y4" t="s">
        <v>10</v>
      </c>
      <c r="AA4" t="s">
        <v>11</v>
      </c>
    </row>
    <row r="5" spans="1:27" x14ac:dyDescent="0.55000000000000004">
      <c r="A5" t="s">
        <v>13</v>
      </c>
      <c r="B5" s="4">
        <v>101325</v>
      </c>
      <c r="C5" s="4">
        <v>1500000</v>
      </c>
      <c r="E5" cm="1">
        <f t="array" ref="E5">[1]!propssi("T","P",$B5,"Q",0,A5)</f>
        <v>373.12429584768438</v>
      </c>
      <c r="G5" cm="1">
        <f t="array" ref="G5">[1]!propssi("H","T",$E5,"P",C5,A5)</f>
        <v>420108.79252888035</v>
      </c>
      <c r="K5" cm="1">
        <f t="array" ref="K5">[1]!propssi("T","P",$C5,"Q",1,A5)</f>
        <v>471.43733400044886</v>
      </c>
      <c r="M5" s="4">
        <v>10</v>
      </c>
      <c r="O5" cm="1">
        <f t="array" ref="O5">[1]!propssi("H","T",$K5+M5,"P",$C5,A5)</f>
        <v>2819255.183592042</v>
      </c>
      <c r="Q5" cm="1">
        <f t="array" ref="Q5">[1]!propssi("D","T",$K5+$M5,"P",$C$5,A5)</f>
        <v>7.3562832099679767</v>
      </c>
      <c r="S5">
        <f>1/Q5</f>
        <v>0.13593821383126889</v>
      </c>
      <c r="U5">
        <f>O5-G5</f>
        <v>2399146.3910631617</v>
      </c>
      <c r="W5" s="2">
        <f>($U$2/U5)/$W$2</f>
        <v>3.5726992747742311E-3</v>
      </c>
      <c r="Y5" s="2">
        <f>W5*S5</f>
        <v>4.8566635796907869E-4</v>
      </c>
      <c r="AA5" s="3">
        <f>Y5*1000*60</f>
        <v>29.139981478144723</v>
      </c>
    </row>
    <row r="6" spans="1:27" x14ac:dyDescent="0.55000000000000004">
      <c r="A6" t="s">
        <v>13</v>
      </c>
      <c r="B6" s="4">
        <v>101325</v>
      </c>
      <c r="C6" s="4">
        <v>1500000</v>
      </c>
      <c r="E6" cm="1">
        <f t="array" ref="E6">[1]!propssi("T","P",$B6,"Q",0,A6)</f>
        <v>373.12429584768438</v>
      </c>
      <c r="G6" cm="1">
        <f t="array" ref="G6">[1]!propssi("H","T",$E6,"P",C6,A6)</f>
        <v>420108.79252888035</v>
      </c>
      <c r="K6" cm="1">
        <f t="array" ref="K6">[1]!propssi("T","P",$C6,"Q",1,A6)</f>
        <v>471.43733400044886</v>
      </c>
      <c r="M6" s="4">
        <v>10</v>
      </c>
      <c r="O6" cm="1">
        <f t="array" ref="O6">[1]!propssi("H","T",$K6+M6,"P",$C6,A6)</f>
        <v>2819255.183592042</v>
      </c>
      <c r="Q6" cm="1">
        <f t="array" ref="Q6">[1]!propssi("D","T",$K6+$M6,"P",$C$5,A6)</f>
        <v>7.3562832099679767</v>
      </c>
      <c r="S6">
        <f>1/Q6</f>
        <v>0.13593821383126889</v>
      </c>
      <c r="U6">
        <f>O6-G6</f>
        <v>2399146.3910631617</v>
      </c>
      <c r="W6" s="2">
        <f>($U$2/U6)/$W$2</f>
        <v>3.5726992747742311E-3</v>
      </c>
      <c r="Y6" s="2">
        <f>W6*S6</f>
        <v>4.8566635796907869E-4</v>
      </c>
      <c r="AA6" s="3">
        <f>Y6*1000*60</f>
        <v>29.139981478144723</v>
      </c>
    </row>
    <row r="10" spans="1:27" x14ac:dyDescent="0.55000000000000004">
      <c r="A10" t="s">
        <v>12</v>
      </c>
      <c r="B10" t="s">
        <v>14</v>
      </c>
      <c r="C10" t="s">
        <v>15</v>
      </c>
      <c r="E10" t="s">
        <v>5</v>
      </c>
      <c r="G10" t="s">
        <v>4</v>
      </c>
      <c r="K10" t="s">
        <v>6</v>
      </c>
      <c r="M10" t="s">
        <v>0</v>
      </c>
      <c r="O10" t="s">
        <v>3</v>
      </c>
      <c r="Q10" t="s">
        <v>2</v>
      </c>
      <c r="S10" t="s">
        <v>1</v>
      </c>
      <c r="U10" t="s">
        <v>7</v>
      </c>
      <c r="W10" t="s">
        <v>9</v>
      </c>
      <c r="Y10" t="s">
        <v>10</v>
      </c>
      <c r="AA10" t="s">
        <v>11</v>
      </c>
    </row>
    <row r="11" spans="1:27" x14ac:dyDescent="0.55000000000000004">
      <c r="A11" t="s">
        <v>16</v>
      </c>
      <c r="B11" s="4">
        <v>301325</v>
      </c>
      <c r="C11" s="4">
        <v>1500000</v>
      </c>
      <c r="E11" cm="1">
        <f t="array" ref="E11">[1]!propssi("T","P",$B11,"Q",0,A11)</f>
        <v>293.05208704595998</v>
      </c>
      <c r="G11" cm="1">
        <f t="array" ref="G11">[1]!propssi("H","T",$E11,"P",C11,A11)</f>
        <v>247405.34081083618</v>
      </c>
      <c r="K11" cm="1">
        <f t="array" ref="K11">[1]!propssi("T","P",$C11,"Q",1,A11)</f>
        <v>358.57262575102635</v>
      </c>
      <c r="M11" s="4">
        <v>10</v>
      </c>
      <c r="O11" cm="1">
        <f t="array" ref="O11">[1]!propssi("H","T",$K11+M11,"P",$C11,A11)</f>
        <v>687864.9371054247</v>
      </c>
      <c r="Q11" cm="1">
        <f t="array" ref="Q11">[1]!propssi("D","T",$K11+$M11,"P",$C$5,A11)</f>
        <v>37.532823850891141</v>
      </c>
      <c r="S11">
        <f>1/Q11</f>
        <v>2.6643345674515696E-2</v>
      </c>
      <c r="U11">
        <f>O11-G11</f>
        <v>440459.59629458853</v>
      </c>
      <c r="W11" s="2">
        <f>($U$2/U11)/$W$2</f>
        <v>1.9460192588688252E-2</v>
      </c>
      <c r="Y11" s="2">
        <f>W11*S11</f>
        <v>5.1848463803306957E-4</v>
      </c>
      <c r="AA11" s="3">
        <f>Y11*1000*60</f>
        <v>31.109078281984171</v>
      </c>
    </row>
    <row r="12" spans="1:27" x14ac:dyDescent="0.55000000000000004">
      <c r="A12" t="s">
        <v>16</v>
      </c>
      <c r="B12" s="4">
        <v>301325</v>
      </c>
      <c r="C12" s="4">
        <v>1500000</v>
      </c>
      <c r="E12" cm="1">
        <f t="array" ref="E12">[1]!propssi("T","P",$B12,"Q",0,A12)</f>
        <v>293.05208704595998</v>
      </c>
      <c r="G12" cm="1">
        <f t="array" ref="G12">[1]!propssi("H","T",$E12,"P",C12,A12)</f>
        <v>247405.34081083618</v>
      </c>
      <c r="K12" cm="1">
        <f t="array" ref="K12">[1]!propssi("T","P",$C12,"Q",1,A12)</f>
        <v>358.57262575102635</v>
      </c>
      <c r="M12" s="4">
        <v>10</v>
      </c>
      <c r="O12" cm="1">
        <f t="array" ref="O12">[1]!propssi("H","T",$K12+M12,"P",$C12,A12)</f>
        <v>687864.9371054247</v>
      </c>
      <c r="Q12" cm="1">
        <f t="array" ref="Q12">[1]!propssi("D","T",$K12+$M12,"P",$C$5,A12)</f>
        <v>37.532823850891141</v>
      </c>
      <c r="S12">
        <f>1/Q12</f>
        <v>2.6643345674515696E-2</v>
      </c>
      <c r="U12">
        <f>O12-G12</f>
        <v>440459.59629458853</v>
      </c>
      <c r="W12" s="2">
        <f>($U$2/U12)/$W$2</f>
        <v>1.9460192588688252E-2</v>
      </c>
      <c r="Y12" s="2">
        <f>W12*S12</f>
        <v>5.1848463803306957E-4</v>
      </c>
      <c r="AA12" s="3">
        <f>Y12*1000*60</f>
        <v>31.109078281984171</v>
      </c>
    </row>
    <row r="13" spans="1:27" x14ac:dyDescent="0.55000000000000004">
      <c r="A13" t="s">
        <v>16</v>
      </c>
    </row>
    <row r="14" spans="1:27" x14ac:dyDescent="0.55000000000000004">
      <c r="A14" t="s">
        <v>16</v>
      </c>
    </row>
    <row r="15" spans="1:27" x14ac:dyDescent="0.55000000000000004">
      <c r="A15" t="s">
        <v>16</v>
      </c>
    </row>
    <row r="16" spans="1:27" x14ac:dyDescent="0.55000000000000004">
      <c r="A16" t="s">
        <v>16</v>
      </c>
    </row>
  </sheetData>
  <mergeCells count="1">
    <mergeCell ref="B2:D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2025-07-17T22:30:05Z</dcterms:created>
  <dcterms:modified xsi:type="dcterms:W3CDTF">2025-08-08T06:27:29Z</dcterms:modified>
</cp:coreProperties>
</file>