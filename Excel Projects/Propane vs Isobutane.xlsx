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984" documentId="8_{0B5F76E4-D10E-49A2-8361-B33BF6BE3370}" xr6:coauthVersionLast="47" xr6:coauthVersionMax="47" xr10:uidLastSave="{A3E43362-A05D-40E3-B0C2-8CF409CBE1AD}"/>
  <bookViews>
    <workbookView minimized="1" xWindow="6432" yWindow="1080" windowWidth="17280" windowHeight="8994" xr2:uid="{AAC78394-6F4B-45DB-8849-6FC8159441D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D32" i="1" a="1"/>
  <c r="D32" i="1" s="1"/>
  <c r="E32" i="1" s="1"/>
  <c r="I3" i="1" a="1"/>
  <c r="H65" i="1" a="1"/>
  <c r="L5" i="1" a="1"/>
  <c r="L17" i="1" a="1"/>
  <c r="L9" i="1" a="1"/>
  <c r="L6" i="1" a="1"/>
  <c r="L12" i="1" a="1"/>
  <c r="L8" i="1" a="1"/>
  <c r="L11" i="1" a="1"/>
  <c r="L13" i="1" a="1"/>
  <c r="L4" i="1" a="1"/>
  <c r="I27" i="1" a="1"/>
  <c r="L16" i="1" a="1"/>
  <c r="B24" i="1" a="1"/>
  <c r="L10" i="1" a="1"/>
  <c r="L3" i="1" a="1"/>
  <c r="L15" i="1" a="1"/>
  <c r="L18" i="1" a="1"/>
  <c r="L14" i="1" a="1"/>
  <c r="L20" i="1" a="1"/>
  <c r="L7" i="1" a="1"/>
  <c r="I26" i="1" a="1"/>
  <c r="L19" i="1" a="1"/>
  <c r="H65" i="1" l="1"/>
  <c r="I3" i="1"/>
  <c r="I27" i="1"/>
  <c r="I26" i="1"/>
  <c r="L18" i="1"/>
  <c r="L5" i="1"/>
  <c r="L11" i="1"/>
  <c r="L8" i="1"/>
  <c r="L17" i="1"/>
  <c r="L13" i="1"/>
  <c r="L10" i="1"/>
  <c r="L14" i="1"/>
  <c r="L19" i="1"/>
  <c r="L16" i="1"/>
  <c r="L20" i="1"/>
  <c r="L4" i="1"/>
  <c r="L9" i="1"/>
  <c r="L6" i="1"/>
  <c r="L7" i="1"/>
  <c r="L15" i="1"/>
  <c r="L12" i="1"/>
  <c r="L3" i="1"/>
  <c r="F32" i="1"/>
  <c r="E38" i="1"/>
  <c r="F40" i="1"/>
  <c r="E36" i="1"/>
  <c r="F36" i="1" s="1"/>
  <c r="E40" i="1"/>
  <c r="E39" i="1"/>
  <c r="F39" i="1" s="1"/>
  <c r="E37" i="1"/>
  <c r="F37" i="1" s="1"/>
  <c r="F38" i="1"/>
  <c r="E34" i="1"/>
  <c r="F34" i="1" s="1"/>
  <c r="E35" i="1"/>
  <c r="F35" i="1" s="1"/>
  <c r="E41" i="1"/>
  <c r="F41" i="1" s="1"/>
  <c r="E33" i="1"/>
  <c r="F33" i="1" s="1"/>
  <c r="B24" i="1"/>
  <c r="J27" i="1" a="1"/>
  <c r="J27" i="1" l="1"/>
  <c r="A11" i="1"/>
  <c r="P15" i="1" a="1"/>
  <c r="P10" i="1" a="1"/>
  <c r="J17" i="1" a="1"/>
  <c r="I4" i="1" a="1"/>
  <c r="W20" i="1" a="1"/>
  <c r="M12" i="1" a="1"/>
  <c r="W16" i="1" a="1"/>
  <c r="W9" i="1" a="1"/>
  <c r="J15" i="1" a="1"/>
  <c r="M8" i="1" a="1"/>
  <c r="I9" i="1" a="1"/>
  <c r="J16" i="1" a="1"/>
  <c r="M6" i="1" a="1"/>
  <c r="P20" i="1" a="1"/>
  <c r="I12" i="1" a="1"/>
  <c r="J8" i="1" a="1"/>
  <c r="B23" i="1" a="1"/>
  <c r="P12" i="1" a="1"/>
  <c r="I20" i="1" a="1"/>
  <c r="P8" i="1" a="1"/>
  <c r="I11" i="1" a="1"/>
  <c r="M10" i="1" a="1"/>
  <c r="P17" i="1" a="1"/>
  <c r="M11" i="1" a="1"/>
  <c r="W5" i="1" a="1"/>
  <c r="M19" i="1" a="1"/>
  <c r="J18" i="1" a="1"/>
  <c r="P13" i="1" a="1"/>
  <c r="M14" i="1" a="1"/>
  <c r="W17" i="1" a="1"/>
  <c r="J7" i="1" a="1"/>
  <c r="W19" i="1" a="1"/>
  <c r="J13" i="1" a="1"/>
  <c r="J5" i="1" a="1"/>
  <c r="W6" i="1" a="1"/>
  <c r="M15" i="1" a="1"/>
  <c r="P19" i="1" a="1"/>
  <c r="J10" i="1" a="1"/>
  <c r="I6" i="1" a="1"/>
  <c r="J11" i="1" a="1"/>
  <c r="M18" i="1" a="1"/>
  <c r="I5" i="1" a="1"/>
  <c r="I17" i="1" a="1"/>
  <c r="P9" i="1" a="1"/>
  <c r="J14" i="1" a="1"/>
  <c r="M4" i="1" a="1"/>
  <c r="M20" i="1" a="1"/>
  <c r="M16" i="1" a="1"/>
  <c r="J4" i="1" a="1"/>
  <c r="I16" i="1" a="1"/>
  <c r="W12" i="1" a="1"/>
  <c r="J9" i="1" a="1"/>
  <c r="P4" i="1" a="1"/>
  <c r="W10" i="1" a="1"/>
  <c r="I21" i="1" a="1"/>
  <c r="J20" i="1" a="1"/>
  <c r="M9" i="1" a="1"/>
  <c r="M5" i="1" a="1"/>
  <c r="W14" i="1" a="1"/>
  <c r="W3" i="1" a="1"/>
  <c r="W18" i="1" a="1"/>
  <c r="J12" i="1" a="1"/>
  <c r="P11" i="1" a="1"/>
  <c r="I14" i="1" a="1"/>
  <c r="J3" i="1" a="1"/>
  <c r="W8" i="1" a="1"/>
  <c r="I19" i="1" a="1"/>
  <c r="P7" i="1" a="1"/>
  <c r="P16" i="1" a="1"/>
  <c r="P6" i="1" a="1"/>
  <c r="W15" i="1" a="1"/>
  <c r="I8" i="1" a="1"/>
  <c r="P3" i="1" a="1"/>
  <c r="M3" i="1" a="1"/>
  <c r="J6" i="1" a="1"/>
  <c r="M7" i="1" a="1"/>
  <c r="J19" i="1" a="1"/>
  <c r="I7" i="1" a="1"/>
  <c r="W4" i="1" a="1"/>
  <c r="P14" i="1" a="1"/>
  <c r="I18" i="1" a="1"/>
  <c r="P18" i="1" a="1"/>
  <c r="I10" i="1" a="1"/>
  <c r="W13" i="1" a="1"/>
  <c r="I13" i="1" a="1"/>
  <c r="W11" i="1" a="1"/>
  <c r="P5" i="1" a="1"/>
  <c r="I15" i="1" a="1"/>
  <c r="W7" i="1" a="1"/>
  <c r="M17" i="1" a="1"/>
  <c r="M13" i="1" a="1"/>
  <c r="P7" i="1" l="1"/>
  <c r="P15" i="1"/>
  <c r="P11" i="1"/>
  <c r="P20" i="1"/>
  <c r="P6" i="1"/>
  <c r="P16" i="1"/>
  <c r="P13" i="1"/>
  <c r="P17" i="1"/>
  <c r="P5" i="1"/>
  <c r="P3" i="1"/>
  <c r="Q3" i="1" s="1"/>
  <c r="P9" i="1"/>
  <c r="P19" i="1"/>
  <c r="P18" i="1"/>
  <c r="P14" i="1"/>
  <c r="P8" i="1"/>
  <c r="P10" i="1"/>
  <c r="P12" i="1"/>
  <c r="P4" i="1"/>
  <c r="I4" i="1"/>
  <c r="I6" i="1"/>
  <c r="W3" i="1"/>
  <c r="W5" i="1"/>
  <c r="W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M18" i="1"/>
  <c r="N18" i="1" s="1"/>
  <c r="M11" i="1"/>
  <c r="N11" i="1" s="1"/>
  <c r="M4" i="1"/>
  <c r="N4" i="1" s="1"/>
  <c r="M19" i="1"/>
  <c r="N19" i="1" s="1"/>
  <c r="M10" i="1"/>
  <c r="N10" i="1" s="1"/>
  <c r="M15" i="1"/>
  <c r="N15" i="1" s="1"/>
  <c r="M20" i="1"/>
  <c r="N20" i="1" s="1"/>
  <c r="M12" i="1"/>
  <c r="N12" i="1" s="1"/>
  <c r="M14" i="1"/>
  <c r="N14" i="1" s="1"/>
  <c r="M5" i="1"/>
  <c r="N5" i="1" s="1"/>
  <c r="M3" i="1"/>
  <c r="N3" i="1" s="1"/>
  <c r="M8" i="1"/>
  <c r="N8" i="1" s="1"/>
  <c r="I21" i="1"/>
  <c r="M17" i="1"/>
  <c r="N17" i="1" s="1"/>
  <c r="M7" i="1"/>
  <c r="N7" i="1" s="1"/>
  <c r="M16" i="1"/>
  <c r="N16" i="1" s="1"/>
  <c r="M9" i="1"/>
  <c r="N9" i="1" s="1"/>
  <c r="M6" i="1"/>
  <c r="N6" i="1" s="1"/>
  <c r="M13" i="1"/>
  <c r="N13" i="1" s="1"/>
  <c r="I18" i="1"/>
  <c r="I20" i="1"/>
  <c r="J18" i="1"/>
  <c r="J20" i="1"/>
  <c r="I19" i="1"/>
  <c r="J19" i="1"/>
  <c r="J16" i="1"/>
  <c r="J17" i="1"/>
  <c r="I17" i="1"/>
  <c r="I16" i="1"/>
  <c r="J14" i="1"/>
  <c r="J15" i="1"/>
  <c r="I14" i="1"/>
  <c r="I15" i="1"/>
  <c r="B23" i="1"/>
  <c r="A2" i="1"/>
  <c r="I5" i="1"/>
  <c r="I7" i="1"/>
  <c r="I8" i="1"/>
  <c r="I9" i="1"/>
  <c r="I10" i="1"/>
  <c r="I11" i="1"/>
  <c r="I12" i="1"/>
  <c r="J4" i="1"/>
  <c r="J5" i="1"/>
  <c r="J6" i="1"/>
  <c r="J7" i="1"/>
  <c r="J10" i="1"/>
  <c r="J9" i="1"/>
  <c r="I13" i="1"/>
  <c r="J8" i="1"/>
  <c r="J12" i="1"/>
  <c r="J13" i="1"/>
  <c r="J11" i="1"/>
  <c r="J3" i="1"/>
  <c r="I38" i="1" a="1"/>
  <c r="M39" i="1" a="1"/>
  <c r="M35" i="1" a="1"/>
  <c r="O38" i="1" a="1"/>
  <c r="V15" i="1" a="1"/>
  <c r="O35" i="1" a="1"/>
  <c r="V16" i="1" a="1"/>
  <c r="L34" i="1" a="1"/>
  <c r="O36" i="1" a="1"/>
  <c r="L33" i="1" a="1"/>
  <c r="O41" i="1" a="1"/>
  <c r="L41" i="1" a="1"/>
  <c r="J41" i="1" a="1"/>
  <c r="V10" i="1" a="1"/>
  <c r="L38" i="1" a="1"/>
  <c r="M34" i="1" a="1"/>
  <c r="O34" i="1" a="1"/>
  <c r="V14" i="1" a="1"/>
  <c r="V17" i="1" a="1"/>
  <c r="V6" i="1" a="1"/>
  <c r="O37" i="1" a="1"/>
  <c r="V4" i="1" a="1"/>
  <c r="V19" i="1" a="1"/>
  <c r="I39" i="1" a="1"/>
  <c r="V8" i="1" a="1"/>
  <c r="O33" i="1" a="1"/>
  <c r="V18" i="1" a="1"/>
  <c r="V20" i="1" a="1"/>
  <c r="L32" i="1" a="1"/>
  <c r="L40" i="1" a="1"/>
  <c r="I35" i="1" a="1"/>
  <c r="M40" i="1" a="1"/>
  <c r="M37" i="1" a="1"/>
  <c r="J36" i="1" a="1"/>
  <c r="J39" i="1" a="1"/>
  <c r="L36" i="1" a="1"/>
  <c r="O39" i="1" a="1"/>
  <c r="I41" i="1" a="1"/>
  <c r="J38" i="1" a="1"/>
  <c r="V7" i="1" a="1"/>
  <c r="V13" i="1" a="1"/>
  <c r="L37" i="1" a="1"/>
  <c r="J40" i="1" a="1"/>
  <c r="V5" i="1" a="1"/>
  <c r="I34" i="1" a="1"/>
  <c r="M41" i="1" a="1"/>
  <c r="M33" i="1" a="1"/>
  <c r="J32" i="1" a="1"/>
  <c r="I36" i="1" a="1"/>
  <c r="J35" i="1" a="1"/>
  <c r="M38" i="1" a="1"/>
  <c r="O32" i="1" a="1"/>
  <c r="V11" i="1" a="1"/>
  <c r="V9" i="1" a="1"/>
  <c r="J33" i="1" a="1"/>
  <c r="I37" i="1" a="1"/>
  <c r="O40" i="1" a="1"/>
  <c r="I33" i="1" a="1"/>
  <c r="M36" i="1" a="1"/>
  <c r="I40" i="1" a="1"/>
  <c r="I32" i="1" a="1"/>
  <c r="V3" i="1" a="1"/>
  <c r="J34" i="1" a="1"/>
  <c r="L35" i="1" a="1"/>
  <c r="L39" i="1" a="1"/>
  <c r="J37" i="1" a="1"/>
  <c r="V12" i="1" a="1"/>
  <c r="M32" i="1" a="1"/>
  <c r="V3" i="1" l="1"/>
  <c r="V5" i="1"/>
  <c r="V20" i="1"/>
  <c r="V4" i="1"/>
  <c r="V17" i="1"/>
  <c r="V9" i="1"/>
  <c r="V19" i="1"/>
  <c r="V11" i="1"/>
  <c r="V18" i="1"/>
  <c r="V16" i="1"/>
  <c r="V8" i="1"/>
  <c r="V7" i="1"/>
  <c r="V14" i="1"/>
  <c r="V6" i="1"/>
  <c r="V12" i="1"/>
  <c r="V10" i="1"/>
  <c r="V15" i="1"/>
  <c r="V13" i="1"/>
  <c r="Q6" i="1"/>
  <c r="Q5" i="1"/>
  <c r="Q20" i="1"/>
  <c r="Q12" i="1"/>
  <c r="Q4" i="1"/>
  <c r="Q19" i="1"/>
  <c r="Q11" i="1"/>
  <c r="Q18" i="1"/>
  <c r="Q10" i="1"/>
  <c r="Q14" i="1"/>
  <c r="Q13" i="1"/>
  <c r="Q17" i="1"/>
  <c r="Q9" i="1"/>
  <c r="Q16" i="1"/>
  <c r="Q8" i="1"/>
  <c r="Q15" i="1"/>
  <c r="Q7" i="1"/>
  <c r="L40" i="1"/>
  <c r="M40" i="1"/>
  <c r="O40" i="1"/>
  <c r="L37" i="1"/>
  <c r="M37" i="1"/>
  <c r="O37" i="1"/>
  <c r="L35" i="1"/>
  <c r="M35" i="1"/>
  <c r="O35" i="1"/>
  <c r="L38" i="1"/>
  <c r="M38" i="1"/>
  <c r="O38" i="1"/>
  <c r="L41" i="1"/>
  <c r="M41" i="1"/>
  <c r="O41" i="1"/>
  <c r="L33" i="1"/>
  <c r="M33" i="1"/>
  <c r="O33" i="1"/>
  <c r="L39" i="1"/>
  <c r="M39" i="1"/>
  <c r="O39" i="1"/>
  <c r="L34" i="1"/>
  <c r="M34" i="1"/>
  <c r="O34" i="1"/>
  <c r="L32" i="1"/>
  <c r="M32" i="1"/>
  <c r="O32" i="1"/>
  <c r="L36" i="1"/>
  <c r="M36" i="1"/>
  <c r="O36" i="1"/>
  <c r="I35" i="1"/>
  <c r="J35" i="1"/>
  <c r="I41" i="1"/>
  <c r="J41" i="1"/>
  <c r="I36" i="1"/>
  <c r="J36" i="1"/>
  <c r="I34" i="1"/>
  <c r="J34" i="1"/>
  <c r="I40" i="1"/>
  <c r="J40" i="1"/>
  <c r="I37" i="1"/>
  <c r="J37" i="1"/>
  <c r="I32" i="1"/>
  <c r="J32" i="1"/>
  <c r="I33" i="1"/>
  <c r="J33" i="1"/>
  <c r="I39" i="1"/>
  <c r="J39" i="1"/>
  <c r="I38" i="1"/>
  <c r="J38" i="1"/>
  <c r="S9" i="1" a="1"/>
  <c r="S18" i="1" a="1"/>
  <c r="S15" i="1" a="1"/>
  <c r="S3" i="1" a="1"/>
  <c r="S14" i="1" a="1"/>
  <c r="K33" i="1" a="1"/>
  <c r="K35" i="1" a="1"/>
  <c r="T40" i="1" a="1"/>
  <c r="S16" i="1" a="1"/>
  <c r="T32" i="1" a="1"/>
  <c r="S20" i="1" a="1"/>
  <c r="K39" i="1" a="1"/>
  <c r="S13" i="1" a="1"/>
  <c r="K32" i="1" a="1"/>
  <c r="S10" i="1" a="1"/>
  <c r="S8" i="1" a="1"/>
  <c r="T37" i="1" a="1"/>
  <c r="T34" i="1" a="1"/>
  <c r="K40" i="1" a="1"/>
  <c r="K34" i="1" a="1"/>
  <c r="S5" i="1" a="1"/>
  <c r="S19" i="1" a="1"/>
  <c r="T39" i="1" a="1"/>
  <c r="S17" i="1" a="1"/>
  <c r="K37" i="1" a="1"/>
  <c r="S7" i="1" a="1"/>
  <c r="K38" i="1" a="1"/>
  <c r="T33" i="1" a="1"/>
  <c r="T35" i="1" a="1"/>
  <c r="S12" i="1" a="1"/>
  <c r="T36" i="1" a="1"/>
  <c r="S11" i="1" a="1"/>
  <c r="T41" i="1" a="1"/>
  <c r="S6" i="1" a="1"/>
  <c r="K41" i="1" a="1"/>
  <c r="T38" i="1" a="1"/>
  <c r="K36" i="1" a="1"/>
  <c r="S4" i="1" a="1"/>
  <c r="S13" i="1" l="1"/>
  <c r="S20" i="1"/>
  <c r="S5" i="1"/>
  <c r="S10" i="1"/>
  <c r="S6" i="1"/>
  <c r="S15" i="1"/>
  <c r="S18" i="1"/>
  <c r="S3" i="1"/>
  <c r="S9" i="1"/>
  <c r="S17" i="1"/>
  <c r="S7" i="1"/>
  <c r="S8" i="1"/>
  <c r="S11" i="1"/>
  <c r="S4" i="1"/>
  <c r="S12" i="1"/>
  <c r="S14" i="1"/>
  <c r="S16" i="1"/>
  <c r="S19" i="1"/>
  <c r="Y21" i="1"/>
  <c r="Y23" i="1"/>
  <c r="Y27" i="1"/>
  <c r="Y25" i="1"/>
  <c r="Y22" i="1"/>
  <c r="Y24" i="1"/>
  <c r="Y26" i="1"/>
  <c r="T36" i="1"/>
  <c r="T35" i="1"/>
  <c r="T39" i="1"/>
  <c r="T34" i="1"/>
  <c r="T33" i="1"/>
  <c r="T37" i="1"/>
  <c r="T38" i="1"/>
  <c r="T41" i="1"/>
  <c r="T40" i="1"/>
  <c r="T32" i="1"/>
  <c r="K39" i="1"/>
  <c r="K41" i="1"/>
  <c r="K32" i="1"/>
  <c r="K33" i="1"/>
  <c r="K40" i="1"/>
  <c r="K34" i="1"/>
  <c r="K38" i="1"/>
  <c r="K37" i="1"/>
  <c r="K35" i="1"/>
  <c r="K36" i="1"/>
  <c r="R20" i="1" a="1"/>
  <c r="T12" i="1" a="1"/>
  <c r="R9" i="1" a="1"/>
  <c r="R41" i="1" a="1"/>
  <c r="T16" i="1" a="1"/>
  <c r="T19" i="1" a="1"/>
  <c r="R15" i="1" a="1"/>
  <c r="T9" i="1" a="1"/>
  <c r="R14" i="1" a="1"/>
  <c r="R34" i="1" a="1"/>
  <c r="R32" i="1" a="1"/>
  <c r="R16" i="1" a="1"/>
  <c r="R35" i="1" a="1"/>
  <c r="T3" i="1" a="1"/>
  <c r="T10" i="1" a="1"/>
  <c r="T14" i="1" a="1"/>
  <c r="T15" i="1" a="1"/>
  <c r="T7" i="1" a="1"/>
  <c r="T17" i="1" a="1"/>
  <c r="R17" i="1" a="1"/>
  <c r="R8" i="1" a="1"/>
  <c r="R33" i="1" a="1"/>
  <c r="R18" i="1" a="1"/>
  <c r="T13" i="1" a="1"/>
  <c r="R4" i="1" a="1"/>
  <c r="T6" i="1" a="1"/>
  <c r="R11" i="1" a="1"/>
  <c r="T18" i="1" a="1"/>
  <c r="T8" i="1" a="1"/>
  <c r="T4" i="1" a="1"/>
  <c r="T11" i="1" a="1"/>
  <c r="R12" i="1" a="1"/>
  <c r="R38" i="1" a="1"/>
  <c r="R7" i="1" a="1"/>
  <c r="R37" i="1" a="1"/>
  <c r="R36" i="1" a="1"/>
  <c r="R19" i="1" a="1"/>
  <c r="T5" i="1" a="1"/>
  <c r="R13" i="1" a="1"/>
  <c r="R5" i="1" a="1"/>
  <c r="R3" i="1" a="1"/>
  <c r="R10" i="1" a="1"/>
  <c r="R6" i="1" a="1"/>
  <c r="T20" i="1" a="1"/>
  <c r="R40" i="1" a="1"/>
  <c r="R39" i="1" a="1"/>
  <c r="R7" i="1" l="1"/>
  <c r="T7" i="1"/>
  <c r="R5" i="1"/>
  <c r="T5" i="1"/>
  <c r="R19" i="1"/>
  <c r="T19" i="1"/>
  <c r="R17" i="1"/>
  <c r="T17" i="1"/>
  <c r="R20" i="1"/>
  <c r="T20" i="1"/>
  <c r="R16" i="1"/>
  <c r="T16" i="1"/>
  <c r="R9" i="1"/>
  <c r="T9" i="1"/>
  <c r="R13" i="1"/>
  <c r="T13" i="1"/>
  <c r="R14" i="1"/>
  <c r="T14" i="1"/>
  <c r="R3" i="1"/>
  <c r="T3" i="1"/>
  <c r="R12" i="1"/>
  <c r="T12" i="1"/>
  <c r="R18" i="1"/>
  <c r="T18" i="1"/>
  <c r="R4" i="1"/>
  <c r="T4" i="1"/>
  <c r="R15" i="1"/>
  <c r="T15" i="1"/>
  <c r="R11" i="1"/>
  <c r="T11" i="1"/>
  <c r="R6" i="1"/>
  <c r="T6" i="1"/>
  <c r="R8" i="1"/>
  <c r="T8" i="1"/>
  <c r="R10" i="1"/>
  <c r="T10" i="1"/>
  <c r="AD27" i="1"/>
  <c r="AE27" i="1" s="1"/>
  <c r="AF27" i="1" s="1"/>
  <c r="AG27" i="1" s="1"/>
  <c r="Z27" i="1"/>
  <c r="AA27" i="1" s="1"/>
  <c r="AB27" i="1" s="1"/>
  <c r="AD25" i="1"/>
  <c r="AE25" i="1" s="1"/>
  <c r="AF25" i="1" s="1"/>
  <c r="AG25" i="1" s="1"/>
  <c r="Z25" i="1"/>
  <c r="AA25" i="1" s="1"/>
  <c r="AB25" i="1" s="1"/>
  <c r="AD26" i="1"/>
  <c r="AE26" i="1" s="1"/>
  <c r="AF26" i="1" s="1"/>
  <c r="AG26" i="1" s="1"/>
  <c r="Z26" i="1"/>
  <c r="AA26" i="1" s="1"/>
  <c r="AB26" i="1" s="1"/>
  <c r="AD22" i="1"/>
  <c r="AE22" i="1" s="1"/>
  <c r="AF22" i="1" s="1"/>
  <c r="AG22" i="1" s="1"/>
  <c r="Z22" i="1"/>
  <c r="AA22" i="1" s="1"/>
  <c r="AB22" i="1" s="1"/>
  <c r="AD21" i="1"/>
  <c r="AE21" i="1" s="1"/>
  <c r="AF21" i="1" s="1"/>
  <c r="AG21" i="1" s="1"/>
  <c r="Z21" i="1"/>
  <c r="AA21" i="1" s="1"/>
  <c r="AB21" i="1" s="1"/>
  <c r="AD24" i="1"/>
  <c r="AE24" i="1" s="1"/>
  <c r="AF24" i="1" s="1"/>
  <c r="AG24" i="1" s="1"/>
  <c r="Z24" i="1"/>
  <c r="AA24" i="1" s="1"/>
  <c r="AB24" i="1" s="1"/>
  <c r="AD23" i="1"/>
  <c r="AE23" i="1" s="1"/>
  <c r="AF23" i="1" s="1"/>
  <c r="AG23" i="1" s="1"/>
  <c r="Z23" i="1"/>
  <c r="AA23" i="1" s="1"/>
  <c r="AB23" i="1" s="1"/>
  <c r="R39" i="1"/>
  <c r="S39" i="1" s="1"/>
  <c r="R35" i="1"/>
  <c r="S35" i="1" s="1"/>
  <c r="R33" i="1"/>
  <c r="S33" i="1" s="1"/>
  <c r="R32" i="1"/>
  <c r="S32" i="1" s="1"/>
  <c r="R41" i="1"/>
  <c r="S41" i="1" s="1"/>
  <c r="R38" i="1"/>
  <c r="S38" i="1" s="1"/>
  <c r="R34" i="1"/>
  <c r="S34" i="1" s="1"/>
  <c r="R40" i="1"/>
  <c r="S40" i="1" s="1"/>
  <c r="R37" i="1"/>
  <c r="S37" i="1" s="1"/>
  <c r="R36" i="1"/>
  <c r="S36" i="1" s="1"/>
  <c r="U10" i="1" l="1"/>
  <c r="Y10" i="1" s="1"/>
  <c r="Z10" i="1" s="1"/>
  <c r="AA10" i="1" s="1"/>
  <c r="AB10" i="1" s="1"/>
  <c r="U16" i="1"/>
  <c r="Y16" i="1" s="1"/>
  <c r="Z16" i="1" s="1"/>
  <c r="AA16" i="1" s="1"/>
  <c r="AB16" i="1" s="1"/>
  <c r="U15" i="1"/>
  <c r="Y15" i="1" s="1"/>
  <c r="Z15" i="1" s="1"/>
  <c r="AA15" i="1" s="1"/>
  <c r="AB15" i="1" s="1"/>
  <c r="U11" i="1"/>
  <c r="Y11" i="1" s="1"/>
  <c r="Z11" i="1" s="1"/>
  <c r="AA11" i="1" s="1"/>
  <c r="AB11" i="1" s="1"/>
  <c r="U12" i="1"/>
  <c r="Y12" i="1" s="1"/>
  <c r="Z12" i="1" s="1"/>
  <c r="AA12" i="1" s="1"/>
  <c r="AB12" i="1" s="1"/>
  <c r="U9" i="1"/>
  <c r="Y9" i="1" s="1"/>
  <c r="Z9" i="1" s="1"/>
  <c r="AA9" i="1" s="1"/>
  <c r="AB9" i="1" s="1"/>
  <c r="U3" i="1"/>
  <c r="Y3" i="1" s="1"/>
  <c r="U5" i="1"/>
  <c r="Y5" i="1" s="1"/>
  <c r="Z5" i="1" s="1"/>
  <c r="AA5" i="1" s="1"/>
  <c r="AB5" i="1" s="1"/>
  <c r="U19" i="1"/>
  <c r="Y19" i="1" s="1"/>
  <c r="Z19" i="1" s="1"/>
  <c r="AA19" i="1" s="1"/>
  <c r="AB19" i="1" s="1"/>
  <c r="U4" i="1"/>
  <c r="Y4" i="1" s="1"/>
  <c r="Z4" i="1" s="1"/>
  <c r="AA4" i="1" s="1"/>
  <c r="AB4" i="1" s="1"/>
  <c r="U14" i="1"/>
  <c r="Y14" i="1" s="1"/>
  <c r="U7" i="1"/>
  <c r="Y7" i="1" s="1"/>
  <c r="Z7" i="1" s="1"/>
  <c r="AA7" i="1" s="1"/>
  <c r="AB7" i="1" s="1"/>
  <c r="U6" i="1"/>
  <c r="Y6" i="1" s="1"/>
  <c r="Z6" i="1" s="1"/>
  <c r="AA6" i="1" s="1"/>
  <c r="AB6" i="1" s="1"/>
  <c r="U13" i="1"/>
  <c r="Y13" i="1" s="1"/>
  <c r="Z13" i="1" s="1"/>
  <c r="AA13" i="1" s="1"/>
  <c r="AB13" i="1" s="1"/>
  <c r="U17" i="1"/>
  <c r="Y17" i="1" s="1"/>
  <c r="U8" i="1"/>
  <c r="Y8" i="1" s="1"/>
  <c r="Z8" i="1" s="1"/>
  <c r="AA8" i="1" s="1"/>
  <c r="AB8" i="1" s="1"/>
  <c r="U20" i="1"/>
  <c r="Y20" i="1" s="1"/>
  <c r="U18" i="1"/>
  <c r="Y18" i="1" s="1"/>
  <c r="X36" i="1"/>
  <c r="Y36" i="1" s="1"/>
  <c r="Z36" i="1" s="1"/>
  <c r="AA36" i="1" s="1"/>
  <c r="X35" i="1"/>
  <c r="Y35" i="1" s="1"/>
  <c r="Z35" i="1" s="1"/>
  <c r="AA35" i="1" s="1"/>
  <c r="X37" i="1"/>
  <c r="Y37" i="1" s="1"/>
  <c r="Z37" i="1" s="1"/>
  <c r="AA37" i="1" s="1"/>
  <c r="X40" i="1"/>
  <c r="Y40" i="1" s="1"/>
  <c r="Z40" i="1" s="1"/>
  <c r="AA40" i="1" s="1"/>
  <c r="X34" i="1"/>
  <c r="Y34" i="1" s="1"/>
  <c r="Z34" i="1" s="1"/>
  <c r="AA34" i="1" s="1"/>
  <c r="X38" i="1"/>
  <c r="Y38" i="1" s="1"/>
  <c r="Z38" i="1" s="1"/>
  <c r="AA38" i="1" s="1"/>
  <c r="X39" i="1"/>
  <c r="Y39" i="1" s="1"/>
  <c r="Z39" i="1" s="1"/>
  <c r="AA39" i="1" s="1"/>
  <c r="X41" i="1"/>
  <c r="Y41" i="1" s="1"/>
  <c r="Z41" i="1" s="1"/>
  <c r="AA41" i="1" s="1"/>
  <c r="X33" i="1"/>
  <c r="Y33" i="1" s="1"/>
  <c r="Z33" i="1" s="1"/>
  <c r="AA33" i="1" s="1"/>
  <c r="X32" i="1"/>
  <c r="Y32" i="1" s="1"/>
  <c r="Z32" i="1" s="1"/>
  <c r="AA32" i="1" s="1"/>
  <c r="AD10" i="1" l="1"/>
  <c r="AE10" i="1" s="1"/>
  <c r="AF10" i="1" s="1"/>
  <c r="AG10" i="1" s="1"/>
  <c r="AD12" i="1"/>
  <c r="AE12" i="1" s="1"/>
  <c r="AF12" i="1" s="1"/>
  <c r="AG12" i="1" s="1"/>
  <c r="AD11" i="1"/>
  <c r="AE11" i="1" s="1"/>
  <c r="AF11" i="1" s="1"/>
  <c r="AG11" i="1" s="1"/>
  <c r="AD15" i="1"/>
  <c r="AE15" i="1" s="1"/>
  <c r="AF15" i="1" s="1"/>
  <c r="AG15" i="1" s="1"/>
  <c r="AD16" i="1"/>
  <c r="AE16" i="1" s="1"/>
  <c r="AF16" i="1" s="1"/>
  <c r="AG16" i="1" s="1"/>
  <c r="AD6" i="1"/>
  <c r="AE6" i="1" s="1"/>
  <c r="AF6" i="1" s="1"/>
  <c r="AG6" i="1" s="1"/>
  <c r="AD9" i="1"/>
  <c r="AE9" i="1" s="1"/>
  <c r="AF9" i="1" s="1"/>
  <c r="AG9" i="1" s="1"/>
  <c r="AD5" i="1"/>
  <c r="AE5" i="1" s="1"/>
  <c r="AF5" i="1" s="1"/>
  <c r="AG5" i="1" s="1"/>
  <c r="AD13" i="1"/>
  <c r="AE13" i="1" s="1"/>
  <c r="AF13" i="1" s="1"/>
  <c r="AG13" i="1" s="1"/>
  <c r="AD19" i="1"/>
  <c r="AE19" i="1" s="1"/>
  <c r="AF19" i="1" s="1"/>
  <c r="AG19" i="1" s="1"/>
  <c r="Z20" i="1"/>
  <c r="AA20" i="1" s="1"/>
  <c r="AB20" i="1" s="1"/>
  <c r="AD20" i="1"/>
  <c r="AE20" i="1" s="1"/>
  <c r="AF20" i="1" s="1"/>
  <c r="AG20" i="1" s="1"/>
  <c r="AD7" i="1"/>
  <c r="AE7" i="1" s="1"/>
  <c r="AF7" i="1" s="1"/>
  <c r="AG7" i="1" s="1"/>
  <c r="Z18" i="1"/>
  <c r="AA18" i="1" s="1"/>
  <c r="AB18" i="1" s="1"/>
  <c r="AD18" i="1"/>
  <c r="AE18" i="1" s="1"/>
  <c r="AF18" i="1" s="1"/>
  <c r="AG18" i="1" s="1"/>
  <c r="AD8" i="1"/>
  <c r="AE8" i="1" s="1"/>
  <c r="AF8" i="1" s="1"/>
  <c r="AG8" i="1" s="1"/>
  <c r="Z17" i="1"/>
  <c r="AA17" i="1" s="1"/>
  <c r="AB17" i="1" s="1"/>
  <c r="AD17" i="1"/>
  <c r="AE17" i="1" s="1"/>
  <c r="AF17" i="1" s="1"/>
  <c r="AG17" i="1" s="1"/>
  <c r="Z14" i="1"/>
  <c r="AA14" i="1" s="1"/>
  <c r="AB14" i="1" s="1"/>
  <c r="AD14" i="1"/>
  <c r="AE14" i="1" s="1"/>
  <c r="AF14" i="1" s="1"/>
  <c r="AG14" i="1" s="1"/>
  <c r="AD4" i="1"/>
  <c r="AE4" i="1" s="1"/>
  <c r="AF4" i="1" s="1"/>
  <c r="AG4" i="1" s="1"/>
  <c r="Z3" i="1"/>
  <c r="AD3" i="1"/>
  <c r="AE3" i="1" s="1"/>
  <c r="AF3" i="1" s="1"/>
  <c r="AG3" i="1" s="1"/>
  <c r="AA3" i="1" l="1"/>
  <c r="A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<sst xmlns="http://schemas.openxmlformats.org/spreadsheetml/2006/main" count="58" uniqueCount="49">
  <si>
    <t>Fluid</t>
  </si>
  <si>
    <t>Heat Wattage</t>
  </si>
  <si>
    <t>Max Pressure</t>
  </si>
  <si>
    <t>Expected Wattage Out</t>
  </si>
  <si>
    <t>Q = 0</t>
  </si>
  <si>
    <t>Q = 1</t>
  </si>
  <si>
    <t>Pressure</t>
  </si>
  <si>
    <t>Enthalpy</t>
  </si>
  <si>
    <t>Isobutane</t>
  </si>
  <si>
    <t>Propane</t>
  </si>
  <si>
    <t>Butane</t>
  </si>
  <si>
    <t>Cp</t>
  </si>
  <si>
    <t>H_vap</t>
  </si>
  <si>
    <t>Water</t>
  </si>
  <si>
    <t>R134A</t>
  </si>
  <si>
    <t>Ammonia</t>
  </si>
  <si>
    <t>CO2</t>
  </si>
  <si>
    <t>R32</t>
  </si>
  <si>
    <t>R410A</t>
  </si>
  <si>
    <t>R141B</t>
  </si>
  <si>
    <t>EvapTemperature (C*)</t>
  </si>
  <si>
    <t>CondTemperature (C*)</t>
  </si>
  <si>
    <t>Cond Temp (K)</t>
  </si>
  <si>
    <t>Evap Temp (K)</t>
  </si>
  <si>
    <t>Other Parameters</t>
  </si>
  <si>
    <t>kg/s For W</t>
  </si>
  <si>
    <t>R245FA</t>
  </si>
  <si>
    <t>Density</t>
  </si>
  <si>
    <t>L/s for W</t>
  </si>
  <si>
    <t>Pressure After</t>
  </si>
  <si>
    <t>Enthalpy After</t>
  </si>
  <si>
    <t>Delta H</t>
  </si>
  <si>
    <t>=</t>
  </si>
  <si>
    <t xml:space="preserve"> </t>
  </si>
  <si>
    <t>L/m for W</t>
  </si>
  <si>
    <t>GPM for w</t>
  </si>
  <si>
    <t>Expander Efficiency</t>
  </si>
  <si>
    <t>R1234ZE</t>
  </si>
  <si>
    <t>R1234YF</t>
  </si>
  <si>
    <t>Ethanol</t>
  </si>
  <si>
    <t>n-Hexane</t>
  </si>
  <si>
    <t>R21</t>
  </si>
  <si>
    <t>n-Butane</t>
  </si>
  <si>
    <t>trans-2-Butene</t>
  </si>
  <si>
    <t>Expander kg/s</t>
  </si>
  <si>
    <t>Entropy</t>
  </si>
  <si>
    <t>Cold-Side kg/s</t>
  </si>
  <si>
    <t>Specific Volume</t>
  </si>
  <si>
    <t>H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</si>
</sst>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haseSI"/>
      <definedName name="propssi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EA9B-36AD-4FC8-9C03-51F8A70D44EF}">
  <dimension ref="A1:AG65"/>
  <sheetViews>
    <sheetView tabSelected="1" topLeftCell="C1" workbookViewId="0">
      <selection activeCell="H65" sqref="H65"/>
    </sheetView>
  </sheetViews>
  <sheetFormatPr defaultRowHeight="14.4" x14ac:dyDescent="0.55000000000000004"/>
  <cols>
    <col min="9" max="9" width="9.20703125" bestFit="1" customWidth="1"/>
    <col min="10" max="10" width="12.20703125" bestFit="1" customWidth="1"/>
    <col min="11" max="11" width="10.20703125" bestFit="1" customWidth="1"/>
    <col min="12" max="12" width="12.20703125" bestFit="1" customWidth="1"/>
    <col min="14" max="14" width="10.20703125" bestFit="1" customWidth="1"/>
    <col min="15" max="15" width="12.20703125" bestFit="1" customWidth="1"/>
    <col min="16" max="16" width="14.26171875" bestFit="1" customWidth="1"/>
    <col min="17" max="17" width="12.20703125" bestFit="1" customWidth="1"/>
    <col min="20" max="20" width="9.20703125" bestFit="1" customWidth="1"/>
    <col min="22" max="22" width="11.68359375" bestFit="1" customWidth="1"/>
  </cols>
  <sheetData>
    <row r="1" spans="1:33" x14ac:dyDescent="0.55000000000000004">
      <c r="A1" t="s">
        <v>1</v>
      </c>
      <c r="C1" t="s">
        <v>2</v>
      </c>
      <c r="I1" s="7" t="s">
        <v>4</v>
      </c>
      <c r="J1" s="7"/>
      <c r="K1" s="7"/>
      <c r="L1" s="7"/>
      <c r="O1" s="7" t="s">
        <v>5</v>
      </c>
      <c r="P1" s="7"/>
      <c r="Q1" s="7"/>
      <c r="R1" s="7"/>
      <c r="U1" s="7" t="s">
        <v>24</v>
      </c>
      <c r="V1" s="7"/>
      <c r="W1" s="7"/>
      <c r="X1" t="s">
        <v>46</v>
      </c>
      <c r="AC1" t="s">
        <v>44</v>
      </c>
    </row>
    <row r="2" spans="1:33" x14ac:dyDescent="0.55000000000000004">
      <c r="A2">
        <f>A5*10</f>
        <v>100</v>
      </c>
      <c r="C2">
        <v>500000</v>
      </c>
      <c r="F2" t="s">
        <v>0</v>
      </c>
      <c r="I2" t="s">
        <v>6</v>
      </c>
      <c r="J2" t="s">
        <v>7</v>
      </c>
      <c r="K2" t="s">
        <v>45</v>
      </c>
      <c r="L2" t="s">
        <v>12</v>
      </c>
      <c r="M2" t="s">
        <v>27</v>
      </c>
      <c r="N2" t="s">
        <v>47</v>
      </c>
      <c r="P2" t="s">
        <v>6</v>
      </c>
      <c r="Q2" t="s">
        <v>29</v>
      </c>
      <c r="R2" t="s">
        <v>7</v>
      </c>
      <c r="S2" t="s">
        <v>45</v>
      </c>
      <c r="T2" t="s">
        <v>30</v>
      </c>
      <c r="U2" t="s">
        <v>31</v>
      </c>
      <c r="V2" t="s">
        <v>11</v>
      </c>
      <c r="W2" t="s">
        <v>27</v>
      </c>
      <c r="Y2" t="s">
        <v>25</v>
      </c>
      <c r="Z2" t="s">
        <v>28</v>
      </c>
      <c r="AA2" t="s">
        <v>34</v>
      </c>
      <c r="AB2" t="s">
        <v>35</v>
      </c>
      <c r="AD2" t="s">
        <v>25</v>
      </c>
      <c r="AE2" t="s">
        <v>28</v>
      </c>
      <c r="AF2" t="s">
        <v>34</v>
      </c>
      <c r="AG2" t="s">
        <v>35</v>
      </c>
    </row>
    <row r="3" spans="1:33" x14ac:dyDescent="0.55000000000000004">
      <c r="F3" t="s">
        <v>8</v>
      </c>
      <c r="I3" s="3" cm="1">
        <f t="array" ref="I3">[1]!propssi("P", "T", $A$11, "Q", 0, F3)</f>
        <v>311480.39937904454</v>
      </c>
      <c r="J3" s="3" cm="1">
        <f t="array" ref="J3">[1]!propssi("H", "T", $A$11, "Q", 0, F3)</f>
        <v>249288.13795078726</v>
      </c>
      <c r="L3" s="3" cm="1">
        <f t="array" ref="L3">([1]!propssi("H", "T", 300, "Q", 1, F3) - [1]!propssi("H", "T", 300, "Q", 0, F3))</f>
        <v>326874.60239139665</v>
      </c>
      <c r="M3" s="3" cm="1">
        <f t="array" ref="M3">[1]!propssi("D", "T", $A$11, "Q", 0,  F3)</f>
        <v>555.62739389437547</v>
      </c>
      <c r="N3" s="6">
        <f>1/M3</f>
        <v>1.7997672738758082E-3</v>
      </c>
      <c r="P3" s="3" cm="1">
        <f t="array" ref="P3">[1]!propssi("P", "T", $A$8, "Q", 1, F3)</f>
        <v>869161.01304058894</v>
      </c>
      <c r="Q3" s="3">
        <f>P3/3</f>
        <v>289720.33768019633</v>
      </c>
      <c r="R3" s="3" cm="1">
        <f t="array" ref="R3">[1]!propssi("H", "P|gas", P3, "S", S3,  F3)</f>
        <v>704604.3447523372</v>
      </c>
      <c r="S3" s="3" cm="1">
        <f t="array" ref="S3">[1]!propssi("S", "P|gas", Q3, "T", $A$8,  F3)</f>
        <v>2544.6979154067067</v>
      </c>
      <c r="T3" s="3" cm="1">
        <f t="array" ref="T3">[1]!propssi("H", "P|gas", Q3, "S", S3, F3)</f>
        <v>654416.3863368493</v>
      </c>
      <c r="U3" s="3">
        <f>R3-T3</f>
        <v>50187.958415487898</v>
      </c>
      <c r="V3" s="3" cm="1">
        <f t="array" ref="V3">[1]!propssi("C", "T", $A$11, "P", P3, F3)</f>
        <v>2398.4619254109248</v>
      </c>
      <c r="W3" s="3" cm="1">
        <f t="array" ref="W3">[1]!propssi("D", "T", $A$8, "Q", 1,  F3)</f>
        <v>22.425751569342278</v>
      </c>
      <c r="Y3" s="4">
        <f>($A$5/(U3*$A$14))</f>
        <v>3.3208497003782027E-4</v>
      </c>
      <c r="Z3" s="4">
        <f t="shared" ref="Z3:Z27" si="0">(Y3/M3)*1000</f>
        <v>5.9767566122009722E-4</v>
      </c>
      <c r="AA3" s="5">
        <f>Z3*60</f>
        <v>3.5860539673205835E-2</v>
      </c>
      <c r="AB3" s="5">
        <f>AA3*0.264172</f>
        <v>9.473350486550132E-3</v>
      </c>
      <c r="AD3" s="4">
        <f>Y3</f>
        <v>3.3208497003782027E-4</v>
      </c>
      <c r="AE3" s="4">
        <f t="shared" ref="AE3:AE20" si="1">(AD3/W3)*1000</f>
        <v>1.4808198022304228E-2</v>
      </c>
      <c r="AF3" s="5">
        <f>AE3*60</f>
        <v>0.88849188133825363</v>
      </c>
      <c r="AG3" s="5">
        <f>AF3*0.264172</f>
        <v>0.23471467727688916</v>
      </c>
    </row>
    <row r="4" spans="1:33" x14ac:dyDescent="0.55000000000000004">
      <c r="A4" t="s">
        <v>3</v>
      </c>
      <c r="F4" s="2" t="s">
        <v>10</v>
      </c>
      <c r="I4" s="3" cm="1">
        <f t="array" ref="I4">[1]!propssi("P", "T", $A$11, "Q", 0, F4)</f>
        <v>214436.41985243667</v>
      </c>
      <c r="J4" s="3" cm="1">
        <f t="array" ref="J4">[1]!propssi("H", "T", $A$11, "Q", 0, F4)</f>
        <v>249723.1896252672</v>
      </c>
      <c r="K4" s="3"/>
      <c r="L4" s="3" cm="1">
        <f t="array" ref="L4">([1]!propssi("H", "T", 300, "Q", 1, F4) - [1]!propssi("H", "T", 300, "Q", 0, F4))</f>
        <v>359580.52959615353</v>
      </c>
      <c r="M4" s="3" cm="1">
        <f t="array" ref="M4">[1]!propssi("D", "T", $A$11, "Q", 0,  F4)</f>
        <v>577.44772881293193</v>
      </c>
      <c r="N4" s="6">
        <f t="shared" ref="N4:N20" si="2">1/M4</f>
        <v>1.7317584780456496E-3</v>
      </c>
      <c r="P4" s="3" cm="1">
        <f t="array" ref="P4">[1]!propssi("P", "T", $A$8, "Q", 1, F4)</f>
        <v>638236.04943654523</v>
      </c>
      <c r="Q4" s="3">
        <f t="shared" ref="Q4:Q20" si="3">P4/3</f>
        <v>212745.34981218175</v>
      </c>
      <c r="R4" s="3" cm="1">
        <f t="array" ref="R4">[1]!propssi("H", "P|gas", P4, "S", S4,  F4)</f>
        <v>737848.26652831072</v>
      </c>
      <c r="S4" s="3" cm="1">
        <f t="array" ref="S4">[1]!propssi("S", "P|gas", Q4, "T", $A$8,  F4)</f>
        <v>2646.7151523266907</v>
      </c>
      <c r="T4" s="3" cm="1">
        <f t="array" ref="T4">[1]!propssi("H", "P|gas", Q4, "S", S4, F4)</f>
        <v>686826.52007278753</v>
      </c>
      <c r="U4" s="3">
        <f>R4-T4</f>
        <v>51021.746455523185</v>
      </c>
      <c r="V4" s="3" cm="1">
        <f t="array" ref="V4">[1]!propssi("C", "T", $A$11, "P", P4, F4)</f>
        <v>2414.9883833956806</v>
      </c>
      <c r="W4" s="3" cm="1">
        <f t="array" ref="W4">[1]!propssi("D", "T", $A$8, "Q", 1,  F4)</f>
        <v>15.708825521534584</v>
      </c>
      <c r="Y4" s="4">
        <f>($A$5/(U4*$A$14))</f>
        <v>3.2665809825219096E-4</v>
      </c>
      <c r="Z4" s="4">
        <f t="shared" si="0"/>
        <v>5.6569293107050045E-4</v>
      </c>
      <c r="AA4" s="5">
        <f t="shared" ref="AA4:AA13" si="4">Z4*60</f>
        <v>3.3941575864230029E-2</v>
      </c>
      <c r="AB4" s="5">
        <f t="shared" ref="AB4:AB13" si="5">AA4*0.264172</f>
        <v>8.966413979205376E-3</v>
      </c>
      <c r="AD4" s="4">
        <f t="shared" ref="AD4:AD27" si="6">Y4</f>
        <v>3.2665809825219096E-4</v>
      </c>
      <c r="AE4" s="4">
        <f t="shared" si="1"/>
        <v>2.0794558944230986E-2</v>
      </c>
      <c r="AF4" s="5">
        <f t="shared" ref="AF4:AF27" si="7">AE4*60</f>
        <v>1.2476735366538592</v>
      </c>
      <c r="AG4" s="5">
        <f t="shared" ref="AG4:AG27" si="8">AF4*0.264172</f>
        <v>0.32960041352492331</v>
      </c>
    </row>
    <row r="5" spans="1:33" x14ac:dyDescent="0.55000000000000004">
      <c r="A5">
        <v>10</v>
      </c>
      <c r="F5" t="s">
        <v>9</v>
      </c>
      <c r="I5" s="3" cm="1">
        <f t="array" ref="I5">[1]!propssi("P", "T", $A$11, "Q", 0, F5)</f>
        <v>858710.12788782443</v>
      </c>
      <c r="J5" s="3" cm="1">
        <f t="array" ref="J5">[1]!propssi("H", "T", $A$11, "Q", 0, F5)</f>
        <v>254309.79036327737</v>
      </c>
      <c r="K5" s="3"/>
      <c r="L5" s="3" cm="1">
        <f t="array" ref="L5">([1]!propssi("H", "T", 300, "Q", 1, F5) - [1]!propssi("H", "T", 300, "Q", 0, F5))</f>
        <v>332449.40505670256</v>
      </c>
      <c r="M5" s="3" cm="1">
        <f t="array" ref="M5">[1]!propssi("D", "T", $A$11, "Q", 0,  F5)</f>
        <v>498.53880660684302</v>
      </c>
      <c r="N5" s="6">
        <f t="shared" si="2"/>
        <v>2.0058619043243683E-3</v>
      </c>
      <c r="P5" s="3" cm="1">
        <f t="array" ref="P5">[1]!propssi("P", "T", $A$8, "Q", 1, F5)</f>
        <v>2116752.9196542744</v>
      </c>
      <c r="Q5" s="3">
        <f t="shared" si="3"/>
        <v>705584.30655142479</v>
      </c>
      <c r="R5" s="3" cm="1">
        <f t="array" ref="R5">[1]!propssi("H", "P|gas", P5, "S", S5,  F5)</f>
        <v>741781.81951940351</v>
      </c>
      <c r="S5" s="3" cm="1">
        <f t="array" ref="S5">[1]!propssi("S", "P|gas", Q5, "T", $A$8,  F5)</f>
        <v>2643.0990288862572</v>
      </c>
      <c r="T5" s="3" cm="1">
        <f t="array" ref="T5">[1]!propssi("H", "P|gas", Q5, "S", S5, F5)</f>
        <v>677345.97359132941</v>
      </c>
      <c r="U5" s="3">
        <f t="shared" ref="U5:U20" si="9">R5-T5</f>
        <v>64435.845928074094</v>
      </c>
      <c r="V5" s="3" cm="1">
        <f t="array" ref="V5">[1]!propssi("C", "T", $A$11, "P", P5, F5)</f>
        <v>2643.2756748407865</v>
      </c>
      <c r="W5" s="3" cm="1">
        <f t="array" ref="W5">[1]!propssi("D", "T", $A$8, "Q", 1,  F5)</f>
        <v>49.492767681542055</v>
      </c>
      <c r="Y5" s="4">
        <f t="shared" ref="Y5:Y20" si="10">($A$5/(U5*$A$14))</f>
        <v>2.5865520079104226E-4</v>
      </c>
      <c r="Z5" s="4">
        <f t="shared" si="0"/>
        <v>5.1882661362212187E-4</v>
      </c>
      <c r="AA5" s="5">
        <f t="shared" si="4"/>
        <v>3.1129596817327312E-2</v>
      </c>
      <c r="AB5" s="5">
        <f t="shared" si="5"/>
        <v>8.2235678504269921E-3</v>
      </c>
      <c r="AD5" s="4">
        <f t="shared" si="6"/>
        <v>2.5865520079104226E-4</v>
      </c>
      <c r="AE5" s="4">
        <f t="shared" si="1"/>
        <v>5.226121166941846E-3</v>
      </c>
      <c r="AF5" s="5">
        <f t="shared" si="7"/>
        <v>0.31356727001651075</v>
      </c>
      <c r="AG5" s="5">
        <f t="shared" si="8"/>
        <v>8.2835692854801676E-2</v>
      </c>
    </row>
    <row r="6" spans="1:33" x14ac:dyDescent="0.55000000000000004">
      <c r="F6" t="s">
        <v>13</v>
      </c>
      <c r="I6" s="3" cm="1">
        <f t="array" ref="I6">[1]!propssi("P", "T", $A$11, "Q", 0, F6)</f>
        <v>2488.2189328308123</v>
      </c>
      <c r="J6" s="3" cm="1">
        <f t="array" ref="J6">[1]!propssi("H", "T", $A$11, "Q", 0, F6)</f>
        <v>88098.304750495459</v>
      </c>
      <c r="K6" s="3"/>
      <c r="L6" s="3" cm="1">
        <f t="array" ref="L6">([1]!propssi("H", "T", 300, "Q", 1, F6) - [1]!propssi("H", "T", 300, "Q", 0, F6))</f>
        <v>2437289.2412412656</v>
      </c>
      <c r="M6" s="3" cm="1">
        <f t="array" ref="M6">[1]!propssi("D", "T", $A$11, "Q", 0,  F6)</f>
        <v>997.95035180788796</v>
      </c>
      <c r="N6" s="6">
        <f t="shared" si="2"/>
        <v>1.002053857878199E-3</v>
      </c>
      <c r="P6" s="3" cm="1">
        <f t="array" ref="P6">[1]!propssi("P", "T", $A$8, "Q", 1, F6)</f>
        <v>19946.434310682809</v>
      </c>
      <c r="Q6" s="3">
        <f t="shared" si="3"/>
        <v>6648.8114368942697</v>
      </c>
      <c r="R6" s="3" cm="1">
        <f t="array" ref="R6">[1]!propssi("H", "P|gas", P6, "S", S6,  F6)</f>
        <v>2805315.6968078096</v>
      </c>
      <c r="S6" s="3" cm="1">
        <f t="array" ref="S6">[1]!propssi("S", "P|gas", Q6, "T", $A$8,  F6)</f>
        <v>8422.8289001710327</v>
      </c>
      <c r="T6" s="3" cm="1">
        <f t="array" ref="T6">[1]!propssi("H", "P|gas", Q6, "S", S6, F6)</f>
        <v>2611925.7659689612</v>
      </c>
      <c r="U6" s="3">
        <f t="shared" si="9"/>
        <v>193389.93083884846</v>
      </c>
      <c r="V6" s="3" cm="1">
        <f t="array" ref="V6">[1]!propssi("C", "T", $A$11, "P", P6, F6)</f>
        <v>4183.6362986583081</v>
      </c>
      <c r="W6" s="5" cm="1">
        <f t="array" ref="W6">[1]!propssi("D", "T", $A$8, "Q", 1,  F6)</f>
        <v>0.13042522259659892</v>
      </c>
      <c r="Y6" s="4">
        <f t="shared" si="10"/>
        <v>8.6181667237654567E-5</v>
      </c>
      <c r="Z6" s="4">
        <f t="shared" si="0"/>
        <v>8.6358672133866944E-5</v>
      </c>
      <c r="AA6" s="5">
        <f t="shared" si="4"/>
        <v>5.1815203280320167E-3</v>
      </c>
      <c r="AB6" s="5">
        <f t="shared" si="5"/>
        <v>1.368812588096874E-3</v>
      </c>
      <c r="AD6" s="4">
        <f>Y6</f>
        <v>8.6181667237654567E-5</v>
      </c>
      <c r="AE6" s="4">
        <f t="shared" si="1"/>
        <v>0.66077454591901863</v>
      </c>
      <c r="AF6" s="5">
        <f t="shared" si="7"/>
        <v>39.646472755141119</v>
      </c>
      <c r="AG6" s="5">
        <f t="shared" si="8"/>
        <v>10.473488000671141</v>
      </c>
    </row>
    <row r="7" spans="1:33" x14ac:dyDescent="0.55000000000000004">
      <c r="A7" t="s">
        <v>23</v>
      </c>
      <c r="C7" t="s">
        <v>20</v>
      </c>
      <c r="F7" t="s">
        <v>14</v>
      </c>
      <c r="I7" s="3" cm="1">
        <f t="array" ref="I7">[1]!propssi("P", "T", $A$11, "Q", 0, F7)</f>
        <v>589589.20604898944</v>
      </c>
      <c r="J7" s="3" cm="1">
        <f t="array" ref="J7">[1]!propssi("H", "T", $A$11, "Q", 0, F7)</f>
        <v>228875.84482442637</v>
      </c>
      <c r="K7" s="3"/>
      <c r="L7" s="3" cm="1">
        <f t="array" ref="L7">([1]!propssi("H", "T", 300, "Q", 1, F7) - [1]!propssi("H", "T", 300, "Q", 0, F7))</f>
        <v>176076.50032597163</v>
      </c>
      <c r="M7" s="3" cm="1">
        <f t="array" ref="M7">[1]!propssi("D", "T", $A$11, "Q", 0,  F7)</f>
        <v>1221.6558446006804</v>
      </c>
      <c r="N7" s="6">
        <f t="shared" si="2"/>
        <v>8.1856113930913778E-4</v>
      </c>
      <c r="P7" s="3" cm="1">
        <f t="array" ref="P7">[1]!propssi("P", "T", $A$8, "Q", 1, F7)</f>
        <v>1681784.2182961847</v>
      </c>
      <c r="Q7" s="3">
        <f t="shared" si="3"/>
        <v>560594.73943206156</v>
      </c>
      <c r="R7" s="3" cm="1">
        <f t="array" ref="R7">[1]!propssi("H", "P|gas", P7, "S", S7,  F7)</f>
        <v>476652.95901814935</v>
      </c>
      <c r="S7" s="3" cm="1">
        <f t="array" ref="S7">[1]!propssi("S", "P|gas", Q7, "T", $A$8,  F7)</f>
        <v>1844.1730581305803</v>
      </c>
      <c r="T7" s="3" cm="1">
        <f t="array" ref="T7">[1]!propssi("H", "P|gas", Q7, "S", S7, F7)</f>
        <v>448731.88340400247</v>
      </c>
      <c r="U7" s="3">
        <f t="shared" si="9"/>
        <v>27921.075614146888</v>
      </c>
      <c r="V7" s="3" cm="1">
        <f t="array" ref="V7">[1]!propssi("C", "T", $A$11, "P", P7, F7)</f>
        <v>1397.9404785960703</v>
      </c>
      <c r="W7" s="3" cm="1">
        <f t="array" ref="W7">[1]!propssi("D", "T", $A$8, "Q", 1,  F7)</f>
        <v>87.379446329025754</v>
      </c>
      <c r="Y7" s="4">
        <f t="shared" si="10"/>
        <v>5.9692065223383077E-4</v>
      </c>
      <c r="Z7" s="4">
        <f t="shared" si="0"/>
        <v>4.8861604916967808E-4</v>
      </c>
      <c r="AA7" s="5">
        <f t="shared" si="4"/>
        <v>2.9316962950180686E-2</v>
      </c>
      <c r="AB7" s="5">
        <f t="shared" si="5"/>
        <v>7.7447207364751327E-3</v>
      </c>
      <c r="AD7" s="4">
        <f t="shared" si="6"/>
        <v>5.9692065223383077E-4</v>
      </c>
      <c r="AE7" s="4">
        <f t="shared" si="1"/>
        <v>6.8313622632276321E-3</v>
      </c>
      <c r="AF7" s="5">
        <f t="shared" si="7"/>
        <v>0.40988173579365794</v>
      </c>
      <c r="AG7" s="5">
        <f t="shared" si="8"/>
        <v>0.10827927790808221</v>
      </c>
    </row>
    <row r="8" spans="1:33" x14ac:dyDescent="0.55000000000000004">
      <c r="A8">
        <f>C8+273.15</f>
        <v>333.15</v>
      </c>
      <c r="C8">
        <v>60</v>
      </c>
      <c r="F8" t="s">
        <v>19</v>
      </c>
      <c r="I8" s="3" cm="1">
        <f t="array" ref="I8">[1]!propssi("P", "T", $A$11, "Q", 0, F8)</f>
        <v>67571.206032057962</v>
      </c>
      <c r="J8" s="3" cm="1">
        <f t="array" ref="J8">[1]!propssi("H", "T", $A$11, "Q", 0, F8)</f>
        <v>223879.27624142234</v>
      </c>
      <c r="K8" s="3"/>
      <c r="L8" s="3" cm="1">
        <f t="array" ref="L8">([1]!propssi("H", "T", 300, "Q", 1, F8) - [1]!propssi("H", "T", 300, "Q", 0, F8))</f>
        <v>225193.66036020391</v>
      </c>
      <c r="M8" s="3" cm="1">
        <f t="array" ref="M8">[1]!propssi("D", "T", $A$11, "Q", 0,  F8)</f>
        <v>1241.5022768793767</v>
      </c>
      <c r="N8" s="6">
        <f t="shared" si="2"/>
        <v>8.0547576804577948E-4</v>
      </c>
      <c r="P8" s="3" cm="1">
        <f t="array" ref="P8">[1]!propssi("P", "T", $A$8, "Q", 1, F8)</f>
        <v>246208.52692373437</v>
      </c>
      <c r="Q8" s="3">
        <f t="shared" si="3"/>
        <v>82069.50897457813</v>
      </c>
      <c r="R8" s="3" cm="1">
        <f t="array" ref="R8">[1]!propssi("H", "P|gas", P8, "S", S8,  F8)</f>
        <v>509166.73636166827</v>
      </c>
      <c r="S8" s="3" cm="1">
        <f t="array" ref="S8">[1]!propssi("S", "P|gas", Q8, "T", $A$8,  F8)</f>
        <v>1944.1242068409542</v>
      </c>
      <c r="T8" s="3" cm="1">
        <f t="array" ref="T8">[1]!propssi("H", "P|gas", Q8, "S", S8, F8)</f>
        <v>482715.25124223274</v>
      </c>
      <c r="U8" s="3">
        <f t="shared" si="9"/>
        <v>26451.485119435529</v>
      </c>
      <c r="V8" s="3" cm="1">
        <f t="array" ref="V8">[1]!propssi("C", "T", $A$11, "P", P8, F8)</f>
        <v>1148.3266175059894</v>
      </c>
      <c r="W8" s="3" cm="1">
        <f t="array" ref="W8">[1]!propssi("D", "T", $A$8, "Q", 1,  F8)</f>
        <v>11.186863993041854</v>
      </c>
      <c r="Y8" s="4">
        <f t="shared" si="10"/>
        <v>6.3008434465634767E-4</v>
      </c>
      <c r="Z8" s="4">
        <f t="shared" si="0"/>
        <v>5.0751767144569329E-4</v>
      </c>
      <c r="AA8" s="5">
        <f t="shared" si="4"/>
        <v>3.0451060286741598E-2</v>
      </c>
      <c r="AB8" s="5">
        <f t="shared" si="5"/>
        <v>8.0443174980691021E-3</v>
      </c>
      <c r="AD8" s="4">
        <f t="shared" si="6"/>
        <v>6.3008434465634767E-4</v>
      </c>
      <c r="AE8" s="4">
        <f t="shared" si="1"/>
        <v>5.6323590333113502E-2</v>
      </c>
      <c r="AF8" s="5">
        <f t="shared" si="7"/>
        <v>3.3794154199868101</v>
      </c>
      <c r="AG8" s="5">
        <f t="shared" si="8"/>
        <v>0.89274693032875563</v>
      </c>
    </row>
    <row r="9" spans="1:33" x14ac:dyDescent="0.55000000000000004">
      <c r="F9" t="s">
        <v>17</v>
      </c>
      <c r="I9" s="3" cm="1">
        <f t="array" ref="I9">[1]!propssi("P", "T", $A$11, "Q", 0, F9)</f>
        <v>1515824.8665140425</v>
      </c>
      <c r="J9" s="3" cm="1">
        <f t="array" ref="J9">[1]!propssi("H", "T", $A$11, "Q", 0, F9)</f>
        <v>237999.77112412555</v>
      </c>
      <c r="K9" s="3"/>
      <c r="L9" s="3" cm="1">
        <f t="array" ref="L9">([1]!propssi("H", "T", 300, "Q", 1, F9) - [1]!propssi("H", "T", 300, "Q", 0, F9))</f>
        <v>267101.14560137771</v>
      </c>
      <c r="M9" s="3" cm="1">
        <f t="array" ref="M9">[1]!propssi("D", "T", $A$11, "Q", 0,  F9)</f>
        <v>977.38188861707567</v>
      </c>
      <c r="N9" s="6">
        <f t="shared" si="2"/>
        <v>1.023141529064885E-3</v>
      </c>
      <c r="P9" s="3" cm="1">
        <f t="array" ref="P9">[1]!propssi("P", "T", $A$8, "Q", 1, F9)</f>
        <v>3933230.5242802356</v>
      </c>
      <c r="Q9" s="3">
        <f t="shared" si="3"/>
        <v>1311076.8414267453</v>
      </c>
      <c r="R9" s="3" cm="1">
        <f t="array" ref="R9">[1]!propssi("H", "P|gas", P9, "S", S9,  F9)</f>
        <v>626368.55019168439</v>
      </c>
      <c r="S9" s="3" cm="1">
        <f t="array" ref="S9">[1]!propssi("S", "P|gas", Q9, "T", $A$8,  F9)</f>
        <v>2269.2399318404541</v>
      </c>
      <c r="T9" s="3" cm="1">
        <f t="array" ref="T9">[1]!propssi("H", "P|gas", Q9, "S", S9, F9)</f>
        <v>569996.41078406724</v>
      </c>
      <c r="U9" s="3">
        <f t="shared" si="9"/>
        <v>56372.139407617156</v>
      </c>
      <c r="V9" s="3" cm="1">
        <f t="array" ref="V9">[1]!propssi("C", "T", $A$11, "P", P9, F9)</f>
        <v>1837.0828922376138</v>
      </c>
      <c r="W9" s="3" cm="1">
        <f t="array" ref="W9">[1]!propssi("D", "T", $A$8, "Q", 1,  F9)</f>
        <v>135.21347644762832</v>
      </c>
      <c r="Y9" s="4">
        <f t="shared" si="10"/>
        <v>2.9565432218480998E-4</v>
      </c>
      <c r="Z9" s="4">
        <f t="shared" si="0"/>
        <v>3.0249621527480869E-4</v>
      </c>
      <c r="AA9" s="5">
        <f t="shared" si="4"/>
        <v>1.8149772916488522E-2</v>
      </c>
      <c r="AB9" s="5">
        <f t="shared" si="5"/>
        <v>4.7946618108946062E-3</v>
      </c>
      <c r="AD9" s="4">
        <f t="shared" si="6"/>
        <v>2.9565432218480998E-4</v>
      </c>
      <c r="AE9" s="4">
        <f t="shared" si="1"/>
        <v>2.1865743707826677E-3</v>
      </c>
      <c r="AF9" s="5">
        <f t="shared" si="7"/>
        <v>0.13119446224696008</v>
      </c>
      <c r="AG9" s="5">
        <f t="shared" si="8"/>
        <v>3.4657903480703939E-2</v>
      </c>
    </row>
    <row r="10" spans="1:33" x14ac:dyDescent="0.55000000000000004">
      <c r="A10" t="s">
        <v>22</v>
      </c>
      <c r="C10" t="s">
        <v>21</v>
      </c>
      <c r="F10" t="s">
        <v>18</v>
      </c>
      <c r="I10" s="3" cm="1">
        <f t="array" ref="I10">[1]!propssi("P", "T", $A$11, "Q", 0, F10)</f>
        <v>1487714.9793856128</v>
      </c>
      <c r="J10" s="3" cm="1">
        <f t="array" ref="J10">[1]!propssi("H", "T", $A$11, "Q", 0, F10)</f>
        <v>233164.1881403274</v>
      </c>
      <c r="K10" s="3"/>
      <c r="L10" s="3" cm="1">
        <f t="array" ref="L10">([1]!propssi("H", "T", 300, "Q", 1, F10) - [1]!propssi("H", "T", 300, "Q", 0, F10))</f>
        <v>183440.08345659776</v>
      </c>
      <c r="M10" s="3" cm="1">
        <f t="array" ref="M10">[1]!propssi("D", "T", $A$11, "Q", 0,  F10)</f>
        <v>1078.4953204970395</v>
      </c>
      <c r="N10" s="6">
        <f t="shared" si="2"/>
        <v>9.272177458675816E-4</v>
      </c>
      <c r="P10" s="3" cm="1">
        <f t="array" ref="P10">[1]!propssi("P", "T", $A$8, "Q", 1, F10)</f>
        <v>3834827.6993713547</v>
      </c>
      <c r="Q10" s="3">
        <f t="shared" si="3"/>
        <v>1278275.8997904516</v>
      </c>
      <c r="R10" s="3" cm="1">
        <f t="array" ref="R10">[1]!propssi("H", "P|gas", P10, "S", S10,  F10)</f>
        <v>512736.58381417103</v>
      </c>
      <c r="S10" s="3" cm="1">
        <f t="array" ref="S10">[1]!propssi("S", "P|gas", Q10, "T", $A$8,  F10)</f>
        <v>1938.5563364413858</v>
      </c>
      <c r="T10" s="3" cm="1">
        <f t="array" ref="T10">[1]!propssi("H", "P|gas", Q10, "S", S10, F10)</f>
        <v>474086.9035655284</v>
      </c>
      <c r="U10" s="3">
        <f t="shared" si="9"/>
        <v>38649.680248642631</v>
      </c>
      <c r="V10" s="3" cm="1">
        <f t="array" ref="V10">[1]!propssi("C", "T", $A$11, "P", P10, F10)</f>
        <v>1603.2086240941237</v>
      </c>
      <c r="W10" s="3" cm="1">
        <f t="array" ref="W10">[1]!propssi("D", "T", $A$8, "Q", 1,  F10)</f>
        <v>200.95374757098435</v>
      </c>
      <c r="Y10" s="4">
        <f t="shared" si="10"/>
        <v>4.3122392111515588E-4</v>
      </c>
      <c r="Z10" s="4">
        <f t="shared" si="0"/>
        <v>3.9983847210057463E-4</v>
      </c>
      <c r="AA10" s="5">
        <f t="shared" si="4"/>
        <v>2.3990308326034479E-2</v>
      </c>
      <c r="AB10" s="5">
        <f t="shared" si="5"/>
        <v>6.3375677311051804E-3</v>
      </c>
      <c r="AD10" s="4">
        <f t="shared" si="6"/>
        <v>4.3122392111515588E-4</v>
      </c>
      <c r="AE10" s="4">
        <f t="shared" si="1"/>
        <v>2.1458864356975055E-3</v>
      </c>
      <c r="AF10" s="5">
        <f t="shared" si="7"/>
        <v>0.12875318614185033</v>
      </c>
      <c r="AG10" s="5">
        <f t="shared" si="8"/>
        <v>3.401298668946489E-2</v>
      </c>
    </row>
    <row r="11" spans="1:33" x14ac:dyDescent="0.55000000000000004">
      <c r="A11">
        <f>C11+273.15</f>
        <v>294.14999999999998</v>
      </c>
      <c r="C11">
        <v>21</v>
      </c>
      <c r="F11" t="s">
        <v>26</v>
      </c>
      <c r="I11" s="3" cm="1">
        <f t="array" ref="I11">[1]!propssi("P", "T", $A$11, "Q", 0, F11)</f>
        <v>127865.24073892485</v>
      </c>
      <c r="J11" s="3" cm="1">
        <f t="array" ref="J11">[1]!propssi("H", "T", $A$11, "Q", 0, F11)</f>
        <v>227728.33183932412</v>
      </c>
      <c r="K11" s="3"/>
      <c r="L11" s="3" cm="1">
        <f t="array" ref="L11">([1]!propssi("H", "T", 300, "Q", 1, F11) - [1]!propssi("H", "T", 300, "Q", 0, F11))</f>
        <v>190164.08864318734</v>
      </c>
      <c r="M11" s="3" cm="1">
        <f t="array" ref="M11">[1]!propssi("D", "T", $A$11, "Q", 0,  F11)</f>
        <v>1349.246922941906</v>
      </c>
      <c r="N11" s="6">
        <f t="shared" si="2"/>
        <v>7.4115418237871104E-4</v>
      </c>
      <c r="P11" s="3" cm="1">
        <f t="array" ref="P11">[1]!propssi("P", "T", $A$8, "Q", 1, F11)</f>
        <v>462458.88998685183</v>
      </c>
      <c r="Q11" s="3">
        <f t="shared" si="3"/>
        <v>154152.9633289506</v>
      </c>
      <c r="R11" s="3" cm="1">
        <f t="array" ref="R11">[1]!propssi("H", "P|gas", P11, "S", S11,  F11)</f>
        <v>478791.11048261327</v>
      </c>
      <c r="S11" s="3" cm="1">
        <f t="array" ref="S11">[1]!propssi("S", "P|gas", Q11, "T", $A$8,  F11)</f>
        <v>1857.1142164567714</v>
      </c>
      <c r="T11" s="3" cm="1">
        <f t="array" ref="T11">[1]!propssi("H", "P|gas", Q11, "S", S11, F11)</f>
        <v>456516.08596946462</v>
      </c>
      <c r="U11" s="3">
        <f t="shared" si="9"/>
        <v>22275.024513148644</v>
      </c>
      <c r="V11" s="3" cm="1">
        <f t="array" ref="V11">[1]!propssi("C", "T", $A$11, "P", P11, F11)</f>
        <v>1306.2466498141935</v>
      </c>
      <c r="W11" s="3" cm="1">
        <f t="array" ref="W11">[1]!propssi("D", "T", $A$8, "Q", 1,  F11)</f>
        <v>25.445888352577899</v>
      </c>
      <c r="Y11" s="4">
        <f t="shared" si="10"/>
        <v>7.4822214704314068E-4</v>
      </c>
      <c r="Z11" s="4">
        <f t="shared" si="0"/>
        <v>5.5454797362940265E-4</v>
      </c>
      <c r="AA11" s="5">
        <f t="shared" si="4"/>
        <v>3.3272878417764162E-2</v>
      </c>
      <c r="AB11" s="5">
        <f t="shared" si="5"/>
        <v>8.7897628373775957E-3</v>
      </c>
      <c r="AD11" s="4">
        <f t="shared" si="6"/>
        <v>7.4822214704314068E-4</v>
      </c>
      <c r="AE11" s="4">
        <f t="shared" si="1"/>
        <v>2.9404441954463695E-2</v>
      </c>
      <c r="AF11" s="5">
        <f t="shared" si="7"/>
        <v>1.7642665172678218</v>
      </c>
      <c r="AG11" s="5">
        <f t="shared" si="8"/>
        <v>0.46606981439967504</v>
      </c>
    </row>
    <row r="12" spans="1:33" x14ac:dyDescent="0.55000000000000004">
      <c r="F12" t="s">
        <v>15</v>
      </c>
      <c r="I12" s="3" cm="1">
        <f t="array" ref="I12">[1]!propssi("P", "T", $A$11, "Q", 0, F12)</f>
        <v>884783.06765665417</v>
      </c>
      <c r="J12" s="3" cm="1">
        <f t="array" ref="J12">[1]!propssi("H", "T", $A$11, "Q", 0, F12)</f>
        <v>444071.74007246573</v>
      </c>
      <c r="K12" s="3"/>
      <c r="L12" s="3" cm="1">
        <f t="array" ref="L12">([1]!propssi("H", "T", 300, "Q", 1, F12) - [1]!propssi("H", "T", 300, "Q", 0, F12))</f>
        <v>1158051.3165282125</v>
      </c>
      <c r="M12" s="3" cm="1">
        <f t="array" ref="M12">[1]!propssi("D", "T", $A$11, "Q", 0,  F12)</f>
        <v>608.91472482350946</v>
      </c>
      <c r="N12" s="6">
        <f t="shared" si="2"/>
        <v>1.6422660829722002E-3</v>
      </c>
      <c r="P12" s="3" cm="1">
        <f t="array" ref="P12">[1]!propssi("P", "T", $A$8, "Q", 1, F12)</f>
        <v>2614492.8631447889</v>
      </c>
      <c r="Q12" s="3">
        <f t="shared" si="3"/>
        <v>871497.62104826292</v>
      </c>
      <c r="R12" s="3" cm="1">
        <f t="array" ref="R12">[1]!propssi("H", "P|gas", P12, "S", S12,  F12)</f>
        <v>1923454.7370169973</v>
      </c>
      <c r="S12" s="3" cm="1">
        <f t="array" ref="S12">[1]!propssi("S", "P|gas", Q12, "T", $A$8,  F12)</f>
        <v>6199.6246162087236</v>
      </c>
      <c r="T12" s="3" cm="1">
        <f t="array" ref="T12">[1]!propssi("H", "P|gas", Q12, "S", S12, F12)</f>
        <v>1734410.092549409</v>
      </c>
      <c r="U12" s="3">
        <f t="shared" si="9"/>
        <v>189044.64446758828</v>
      </c>
      <c r="V12" s="3" cm="1">
        <f t="array" ref="V12">[1]!propssi("C", "T", $A$11, "P", P12, F12)</f>
        <v>4726.7115382802067</v>
      </c>
      <c r="W12" s="3" cm="1">
        <f t="array" ref="W12">[1]!propssi("D", "T", $A$8, "Q", 1,  F12)</f>
        <v>20.484289559409707</v>
      </c>
      <c r="Y12" s="4">
        <f t="shared" si="10"/>
        <v>8.8162596267169944E-5</v>
      </c>
      <c r="Z12" s="4">
        <f t="shared" si="0"/>
        <v>1.447864416363447E-4</v>
      </c>
      <c r="AA12" s="5">
        <f t="shared" si="4"/>
        <v>8.687186498180682E-3</v>
      </c>
      <c r="AB12" s="5">
        <f t="shared" si="5"/>
        <v>2.2949114315973873E-3</v>
      </c>
      <c r="AD12" s="4">
        <f t="shared" si="6"/>
        <v>8.8162596267169944E-5</v>
      </c>
      <c r="AE12" s="4">
        <f t="shared" si="1"/>
        <v>4.3039128113999637E-3</v>
      </c>
      <c r="AF12" s="5">
        <f t="shared" si="7"/>
        <v>0.25823476868399781</v>
      </c>
      <c r="AG12" s="5">
        <f t="shared" si="8"/>
        <v>6.8218395312789074E-2</v>
      </c>
    </row>
    <row r="13" spans="1:33" x14ac:dyDescent="0.55000000000000004">
      <c r="A13" t="s">
        <v>36</v>
      </c>
      <c r="F13" t="s">
        <v>16</v>
      </c>
      <c r="I13" s="3" cm="1">
        <f t="array" ref="I13">[1]!propssi("P", "T", $A$11, "Q", 0, F13)</f>
        <v>5864777.4082103446</v>
      </c>
      <c r="J13" s="3" cm="1">
        <f t="array" ref="J13">[1]!propssi("H", "T", $A$11, "Q", 0, F13)</f>
        <v>259332.72341172601</v>
      </c>
      <c r="K13" s="3"/>
      <c r="L13" s="3" cm="1">
        <f t="array" ref="L13">([1]!propssi("H", "T", 300, "Q", 1, F13) - [1]!propssi("H", "T", 300, "Q", 0, F13))</f>
        <v>103702.69525179832</v>
      </c>
      <c r="M13" s="3" cm="1">
        <f t="array" ref="M13">[1]!propssi("D", "T", $A$11, "Q", 0,  F13)</f>
        <v>762.4021988819087</v>
      </c>
      <c r="N13" s="6">
        <f t="shared" si="2"/>
        <v>1.3116436461837824E-3</v>
      </c>
      <c r="P13" s="3" t="str" cm="1">
        <f t="array" ref="P13">[1]!propssi("P", "T", $A$8, "Q", 1, F13)</f>
        <v>Temperature to QT_flash [333.15 K] must be in range [216.492 K, 304.1282 K] : PropsSI("P","T",333.15,"Q",1,"CO2")</v>
      </c>
      <c r="Q13" s="3" t="e">
        <f t="shared" si="3"/>
        <v>#VALUE!</v>
      </c>
      <c r="R13" s="3" t="e" cm="1">
        <f t="array" ref="R13">[1]!propssi("H", "P|gas", P13, "S", S13,  F13)</f>
        <v>#VALUE!</v>
      </c>
      <c r="S13" s="3" t="e" cm="1">
        <f t="array" ref="S13">[1]!propssi("S", "P|gas", Q13, "T", $A$8,  F13)</f>
        <v>#VALUE!</v>
      </c>
      <c r="T13" s="3" t="e" cm="1">
        <f t="array" ref="T13">[1]!propssi("H", "P|gas", Q13, "S", S13, F13)</f>
        <v>#VALUE!</v>
      </c>
      <c r="U13" s="3" t="e">
        <f t="shared" si="9"/>
        <v>#VALUE!</v>
      </c>
      <c r="V13" s="3" t="e" cm="1">
        <f t="array" ref="V13">[1]!propssi("C", "T", $A$11, "P", P13, F13)</f>
        <v>#VALUE!</v>
      </c>
      <c r="W13" s="3" t="str" cm="1">
        <f t="array" ref="W13">[1]!propssi("D", "T", $A$8, "Q", 1,  F13)</f>
        <v>Temperature to QT_flash [333.15 K] must be in range [216.492 K, 304.1282 K] : PropsSI("D","T",333.15,"Q",1,"CO2")</v>
      </c>
      <c r="Y13" s="4" t="e">
        <f t="shared" si="10"/>
        <v>#VALUE!</v>
      </c>
      <c r="Z13" s="4" t="e">
        <f t="shared" si="0"/>
        <v>#VALUE!</v>
      </c>
      <c r="AA13" s="5" t="e">
        <f t="shared" si="4"/>
        <v>#VALUE!</v>
      </c>
      <c r="AB13" s="5" t="e">
        <f t="shared" si="5"/>
        <v>#VALUE!</v>
      </c>
      <c r="AD13" s="4" t="e">
        <f t="shared" si="6"/>
        <v>#VALUE!</v>
      </c>
      <c r="AE13" s="4" t="e">
        <f t="shared" si="1"/>
        <v>#VALUE!</v>
      </c>
      <c r="AF13" s="5" t="e">
        <f t="shared" si="7"/>
        <v>#VALUE!</v>
      </c>
      <c r="AG13" s="5" t="e">
        <f t="shared" si="8"/>
        <v>#VALUE!</v>
      </c>
    </row>
    <row r="14" spans="1:33" x14ac:dyDescent="0.55000000000000004">
      <c r="A14">
        <v>0.6</v>
      </c>
      <c r="F14" t="s">
        <v>37</v>
      </c>
      <c r="I14" s="3" cm="1">
        <f t="array" ref="I14">[1]!propssi("P", "T", $A$11, "Q", 0, F14)</f>
        <v>440919.55759481399</v>
      </c>
      <c r="J14" s="3" cm="1">
        <f t="array" ref="J14">[1]!propssi("H", "T", $A$11, "Q", 0, F14)</f>
        <v>228277.97992214287</v>
      </c>
      <c r="K14" s="3"/>
      <c r="L14" s="3" cm="1">
        <f t="array" ref="L14">([1]!propssi("H", "T", 300, "Q", 1, F14) - [1]!propssi("H", "T", 300, "Q", 0, F14))</f>
        <v>165509.3157081141</v>
      </c>
      <c r="M14" s="3" cm="1">
        <f t="array" ref="M14">[1]!propssi("D", "T", $A$11, "Q", 0,  F14)</f>
        <v>1176.0615155565245</v>
      </c>
      <c r="N14" s="6">
        <f t="shared" si="2"/>
        <v>8.5029565781411496E-4</v>
      </c>
      <c r="P14" s="3" cm="1">
        <f t="array" ref="P14">[1]!propssi("P", "T", $A$8, "Q", 1, F14)</f>
        <v>1276568.4439694169</v>
      </c>
      <c r="Q14" s="3">
        <f t="shared" si="3"/>
        <v>425522.8146564723</v>
      </c>
      <c r="R14" s="3" cm="1">
        <f t="array" ref="R14">[1]!propssi("H", "P|gas", P14, "S", S14,  F14)</f>
        <v>461101.78425533877</v>
      </c>
      <c r="S14" s="3" cm="1">
        <f t="array" ref="S14">[1]!propssi("S", "P|gas", Q14, "T", $A$8,  F14)</f>
        <v>1800.0180420627407</v>
      </c>
      <c r="T14" s="3" cm="1">
        <f t="array" ref="T14">[1]!propssi("H", "P|gas", Q14, "S", S14, F14)</f>
        <v>436084.74393997784</v>
      </c>
      <c r="U14" s="3">
        <f t="shared" si="9"/>
        <v>25017.040315360937</v>
      </c>
      <c r="V14" s="3" cm="1">
        <f t="array" ref="V14">[1]!propssi("C", "T", $A$11, "P", P14, F14)</f>
        <v>1366.0980801850069</v>
      </c>
      <c r="W14" s="3" cm="1">
        <f t="array" ref="W14">[1]!propssi("D", "T", $A$8, "Q", 1,  F14)</f>
        <v>70.077923497357418</v>
      </c>
      <c r="Y14" s="4">
        <f t="shared" si="10"/>
        <v>6.6621256777657338E-4</v>
      </c>
      <c r="Z14" s="4">
        <f t="shared" si="0"/>
        <v>5.6647765356161207E-4</v>
      </c>
      <c r="AA14" s="5">
        <f t="shared" ref="AA14:AA15" si="11">Z14*60</f>
        <v>3.3988659213696724E-2</v>
      </c>
      <c r="AB14" s="5">
        <f t="shared" ref="AB14:AB15" si="12">AA14*0.264172</f>
        <v>8.9788520818006919E-3</v>
      </c>
      <c r="AD14" s="4">
        <f t="shared" si="6"/>
        <v>6.6621256777657338E-4</v>
      </c>
      <c r="AE14" s="4">
        <f t="shared" si="1"/>
        <v>9.506739562591288E-3</v>
      </c>
      <c r="AF14" s="5">
        <f t="shared" si="7"/>
        <v>0.57040437375547726</v>
      </c>
      <c r="AG14" s="5">
        <f t="shared" si="8"/>
        <v>0.15068486422373195</v>
      </c>
    </row>
    <row r="15" spans="1:33" x14ac:dyDescent="0.55000000000000004">
      <c r="F15" t="s">
        <v>38</v>
      </c>
      <c r="I15" s="3" cm="1">
        <f t="array" ref="I15">[1]!propssi("P", "T", $A$11, "Q", 0, F15)</f>
        <v>609120.42203298723</v>
      </c>
      <c r="J15" s="3" cm="1">
        <f t="array" ref="J15">[1]!propssi("H", "T", $A$11, "Q", 0, F15)</f>
        <v>227968.62455752795</v>
      </c>
      <c r="K15" s="3"/>
      <c r="L15" s="3" cm="1">
        <f t="array" ref="L15">([1]!propssi("H", "T", 300, "Q", 1, F15) - [1]!propssi("H", "T", 300, "Q", 0, F15))</f>
        <v>143864.57071751618</v>
      </c>
      <c r="M15" s="3" cm="1">
        <f t="array" ref="M15">[1]!propssi("D", "T", $A$11, "Q", 0,  F15)</f>
        <v>1106.3164151644028</v>
      </c>
      <c r="N15" s="6">
        <f t="shared" si="2"/>
        <v>9.0390053541002211E-4</v>
      </c>
      <c r="P15" s="3" cm="1">
        <f t="array" ref="P15">[1]!propssi("P", "T", $A$8, "Q", 1, F15)</f>
        <v>1641881.5825564119</v>
      </c>
      <c r="Q15" s="3">
        <f t="shared" si="3"/>
        <v>547293.86085213732</v>
      </c>
      <c r="R15" s="3" cm="1">
        <f t="array" ref="R15">[1]!propssi("H", "P|gas", P15, "S", S15,  F15)</f>
        <v>441594.89119336748</v>
      </c>
      <c r="S15" s="3" cm="1">
        <f t="array" ref="S15">[1]!propssi("S", "P|gas", Q15, "T", $A$8,  F15)</f>
        <v>1739.6595105077408</v>
      </c>
      <c r="T15" s="3" cm="1">
        <f t="array" ref="T15">[1]!propssi("H", "P|gas", Q15, "S", S15, F15)</f>
        <v>417246.54753632908</v>
      </c>
      <c r="U15" s="3">
        <f t="shared" si="9"/>
        <v>24348.343657038407</v>
      </c>
      <c r="V15" s="3" cm="1">
        <f t="array" ref="V15">[1]!propssi("C", "T", $A$11, "P", P15, F15)</f>
        <v>1360.751005560425</v>
      </c>
      <c r="W15" s="3" cm="1">
        <f t="array" ref="W15">[1]!propssi("D", "T", $A$8, "Q", 1,  F15)</f>
        <v>99.75355460493023</v>
      </c>
      <c r="Y15" s="4">
        <f t="shared" si="10"/>
        <v>6.8450925867595156E-4</v>
      </c>
      <c r="Z15" s="4">
        <f t="shared" si="0"/>
        <v>6.1872828541031E-4</v>
      </c>
      <c r="AA15" s="5">
        <f t="shared" si="11"/>
        <v>3.7123697124618597E-2</v>
      </c>
      <c r="AB15" s="5">
        <f t="shared" si="12"/>
        <v>9.8070413168047446E-3</v>
      </c>
      <c r="AD15" s="4">
        <f t="shared" si="6"/>
        <v>6.8450925867595156E-4</v>
      </c>
      <c r="AE15" s="4">
        <f t="shared" si="1"/>
        <v>6.8620036788355236E-3</v>
      </c>
      <c r="AF15" s="5">
        <f t="shared" si="7"/>
        <v>0.41172022073013143</v>
      </c>
      <c r="AG15" s="5">
        <f t="shared" si="8"/>
        <v>0.10876495415072028</v>
      </c>
    </row>
    <row r="16" spans="1:33" x14ac:dyDescent="0.55000000000000004">
      <c r="F16" t="s">
        <v>39</v>
      </c>
      <c r="I16" s="3" cm="1">
        <f t="array" ref="I16">[1]!propssi("P", "T", $A$11, "Q", 0, F16)</f>
        <v>6237.7405251965865</v>
      </c>
      <c r="J16" s="3" cm="1">
        <f t="array" ref="J16">[1]!propssi("H", "T", $A$11, "Q", 0, F16)</f>
        <v>-152423.91705201688</v>
      </c>
      <c r="K16" s="3"/>
      <c r="L16" s="3" cm="1">
        <f t="array" ref="L16">([1]!propssi("H", "T", 300, "Q", 1, F16) - [1]!propssi("H", "T", 300, "Q", 0, F16))</f>
        <v>918641.52323599928</v>
      </c>
      <c r="M16" s="3" cm="1">
        <f t="array" ref="M16">[1]!propssi("D", "T", $A$11, "Q", 0,  F16)</f>
        <v>788.48061649902093</v>
      </c>
      <c r="N16" s="6">
        <f t="shared" si="2"/>
        <v>1.2682619953806331E-3</v>
      </c>
      <c r="P16" s="3" cm="1">
        <f t="array" ref="P16">[1]!propssi("P", "T", $A$8, "Q", 1, F16)</f>
        <v>46734.371462664669</v>
      </c>
      <c r="Q16" s="3">
        <f t="shared" si="3"/>
        <v>15578.123820888222</v>
      </c>
      <c r="R16" s="3" cm="1">
        <f t="array" ref="R16">[1]!propssi("H", "P|gas", P16, "S", S16,  F16)</f>
        <v>898970.70925680234</v>
      </c>
      <c r="S16" s="3" cm="1">
        <f t="array" ref="S16">[1]!propssi("S", "P|gas", Q16, "T", $A$8,  F16)</f>
        <v>2689.1428803955405</v>
      </c>
      <c r="T16" s="3" cm="1">
        <f t="array" ref="T16">[1]!propssi("H", "P|gas", Q16, "S", S16, F16)</f>
        <v>829120.40239006665</v>
      </c>
      <c r="U16" s="3">
        <f t="shared" si="9"/>
        <v>69850.306866735686</v>
      </c>
      <c r="V16" s="3" cm="1">
        <f t="array" ref="V16">[1]!propssi("C", "T", $A$11, "P", P16, F16)</f>
        <v>2403.6297950140247</v>
      </c>
      <c r="W16" s="3" cm="1">
        <f t="array" ref="W16">[1]!propssi("D", "T", $A$8, "Q", 1,  F16)</f>
        <v>0.79257504854581562</v>
      </c>
      <c r="Y16" s="4">
        <f t="shared" si="10"/>
        <v>2.3860548957163873E-4</v>
      </c>
      <c r="Z16" s="4">
        <f t="shared" si="0"/>
        <v>3.0261427431289942E-4</v>
      </c>
      <c r="AA16" s="5">
        <f t="shared" ref="AA16" si="13">Z16*60</f>
        <v>1.8156856458773966E-2</v>
      </c>
      <c r="AB16" s="5">
        <f t="shared" ref="AB16" si="14">AA16*0.264172</f>
        <v>4.7965330844272364E-3</v>
      </c>
      <c r="AD16" s="4">
        <f t="shared" si="6"/>
        <v>2.3860548957163873E-4</v>
      </c>
      <c r="AE16" s="4">
        <f t="shared" si="1"/>
        <v>0.30105097303961609</v>
      </c>
      <c r="AF16" s="5">
        <f t="shared" si="7"/>
        <v>18.063058382376965</v>
      </c>
      <c r="AG16" s="5">
        <f t="shared" si="8"/>
        <v>4.7717542589892883</v>
      </c>
    </row>
    <row r="17" spans="2:33" x14ac:dyDescent="0.55000000000000004">
      <c r="F17" t="s">
        <v>40</v>
      </c>
      <c r="I17" s="3" cm="1">
        <f t="array" ref="I17">[1]!propssi("P", "T", $A$11, "Q", 0, F17)</f>
        <v>16902.01202194568</v>
      </c>
      <c r="J17" s="3" cm="1">
        <f t="array" ref="J17">[1]!propssi("H", "T", $A$11, "Q", 0, F17)</f>
        <v>-112709.96088084331</v>
      </c>
      <c r="K17" s="3"/>
      <c r="L17" s="3" cm="1">
        <f t="array" ref="L17">([1]!propssi("H", "T", 300, "Q", 1, F17) - [1]!propssi("H", "T", 300, "Q", 0, F17))</f>
        <v>364943.13844437862</v>
      </c>
      <c r="M17" s="3" cm="1">
        <f t="array" ref="M17">[1]!propssi("D", "T", $A$11, "Q", 0,  F17)</f>
        <v>658.39005346291344</v>
      </c>
      <c r="N17" s="6">
        <f t="shared" si="2"/>
        <v>1.5188564814130035E-3</v>
      </c>
      <c r="P17" s="3" cm="1">
        <f t="array" ref="P17">[1]!propssi("P", "T", $A$8, "Q", 1, F17)</f>
        <v>76413.33399701913</v>
      </c>
      <c r="Q17" s="3">
        <f t="shared" si="3"/>
        <v>25471.111332339711</v>
      </c>
      <c r="R17" s="3" cm="1">
        <f t="array" ref="R17">[1]!propssi("H", "P|gas", P17, "S", S17,  F17)</f>
        <v>359039.22375504253</v>
      </c>
      <c r="S17" s="3" cm="1">
        <f t="array" ref="S17">[1]!propssi("S", "P|gas", Q17, "T", $A$8,  F17)</f>
        <v>1075.2096973487594</v>
      </c>
      <c r="T17" s="3" cm="1">
        <f t="array" ref="T17">[1]!propssi("H", "P|gas", Q17, "S", S17, F17)</f>
        <v>323424.58335231867</v>
      </c>
      <c r="U17" s="3">
        <f t="shared" si="9"/>
        <v>35614.64040272386</v>
      </c>
      <c r="V17" s="3" cm="1">
        <f t="array" ref="V17">[1]!propssi("C", "T", $A$11, "P", P17, F17)</f>
        <v>2256.1094918374683</v>
      </c>
      <c r="W17" s="3" cm="1">
        <f t="array" ref="W17">[1]!propssi("D", "T", $A$8, "Q", 1,  F17)</f>
        <v>2.4765224537977075</v>
      </c>
      <c r="Y17" s="4">
        <f t="shared" si="10"/>
        <v>4.6797234166070579E-4</v>
      </c>
      <c r="Z17" s="4">
        <f t="shared" si="0"/>
        <v>7.1078282425338351E-4</v>
      </c>
      <c r="AA17" s="5">
        <f t="shared" ref="AA17:AA27" si="15">Z17*60</f>
        <v>4.2646969455203007E-2</v>
      </c>
      <c r="AB17" s="5">
        <f t="shared" ref="AB17:AB27" si="16">AA17*0.264172</f>
        <v>1.1266135214919889E-2</v>
      </c>
      <c r="AD17" s="4">
        <f t="shared" si="6"/>
        <v>4.6797234166070579E-4</v>
      </c>
      <c r="AE17" s="4">
        <f t="shared" si="1"/>
        <v>0.18896349635073073</v>
      </c>
      <c r="AF17" s="5">
        <f t="shared" si="7"/>
        <v>11.337809781043845</v>
      </c>
      <c r="AG17" s="5">
        <f t="shared" si="8"/>
        <v>2.9951318854779148</v>
      </c>
    </row>
    <row r="18" spans="2:33" x14ac:dyDescent="0.55000000000000004">
      <c r="F18" t="s">
        <v>41</v>
      </c>
      <c r="I18" s="3" cm="1">
        <f t="array" ref="I18">[1]!propssi("P", "T", $A$11, "Q", 0, F18)</f>
        <v>158660.08999328455</v>
      </c>
      <c r="J18" s="3" cm="1">
        <f t="array" ref="J18">[1]!propssi("H", "T", $A$11, "Q", 0, F18)</f>
        <v>221676.12800443266</v>
      </c>
      <c r="K18" s="3"/>
      <c r="L18" s="3" cm="1">
        <f t="array" ref="L18">([1]!propssi("H", "T", 300, "Q", 1, F18) - [1]!propssi("H", "T", 300, "Q", 0, F18))</f>
        <v>229261.24477720869</v>
      </c>
      <c r="M18" s="3" cm="1">
        <f t="array" ref="M18">[1]!propssi("D", "T", $A$11, "Q", 0,  F18)</f>
        <v>1377.1119295594367</v>
      </c>
      <c r="N18" s="6">
        <f t="shared" si="2"/>
        <v>7.2615738672739431E-4</v>
      </c>
      <c r="P18" s="3" cm="1">
        <f t="array" ref="P18">[1]!propssi("P", "T", $A$8, "Q", 1, F18)</f>
        <v>521456.0216271159</v>
      </c>
      <c r="Q18" s="3">
        <f t="shared" si="3"/>
        <v>173818.67387570531</v>
      </c>
      <c r="R18" s="3" cm="1">
        <f t="array" ref="R18">[1]!propssi("H", "P|gas", P18, "S", S18,  F18)</f>
        <v>509439.70577893464</v>
      </c>
      <c r="S18" s="3" cm="1">
        <f t="array" ref="S18">[1]!propssi("S", "P|gas", Q18, "T", $A$8,  F18)</f>
        <v>1939.0700172118341</v>
      </c>
      <c r="T18" s="3" cm="1">
        <f t="array" ref="T18">[1]!propssi("H", "P|gas", Q18, "S", S18, F18)</f>
        <v>479081.74639459612</v>
      </c>
      <c r="U18" s="3">
        <f t="shared" si="9"/>
        <v>30357.959384338523</v>
      </c>
      <c r="V18" s="3" cm="1">
        <f t="array" ref="V18">[1]!propssi("C", "T", $A$11, "P", P18, F18)</f>
        <v>1048.3280464173383</v>
      </c>
      <c r="W18" s="3" cm="1">
        <f t="array" ref="W18">[1]!propssi("D", "T", $A$8, "Q", 1,  F18)</f>
        <v>21.728269206662272</v>
      </c>
      <c r="Y18" s="4">
        <f t="shared" si="10"/>
        <v>5.4900484105874702E-4</v>
      </c>
      <c r="Z18" s="4">
        <f t="shared" si="0"/>
        <v>3.9866392068390818E-4</v>
      </c>
      <c r="AA18" s="5">
        <f t="shared" si="15"/>
        <v>2.3919835241034491E-2</v>
      </c>
      <c r="AB18" s="5">
        <f t="shared" si="16"/>
        <v>6.3189507152945643E-3</v>
      </c>
      <c r="AD18" s="4">
        <f t="shared" si="6"/>
        <v>5.4900484105874702E-4</v>
      </c>
      <c r="AE18" s="4">
        <f t="shared" si="1"/>
        <v>2.5266846421914377E-2</v>
      </c>
      <c r="AF18" s="5">
        <f t="shared" si="7"/>
        <v>1.5160107853148626</v>
      </c>
      <c r="AG18" s="5">
        <f t="shared" si="8"/>
        <v>0.40048760117819787</v>
      </c>
    </row>
    <row r="19" spans="2:33" x14ac:dyDescent="0.55000000000000004">
      <c r="F19" t="s">
        <v>42</v>
      </c>
      <c r="I19" s="3" cm="1">
        <f t="array" ref="I19">[1]!propssi("P", "T", $A$11, "Q", 0, F19)</f>
        <v>214436.41985243667</v>
      </c>
      <c r="J19" s="3" cm="1">
        <f t="array" ref="J19">[1]!propssi("H", "T", $A$11, "Q", 0, F19)</f>
        <v>249723.1896252672</v>
      </c>
      <c r="K19" s="3"/>
      <c r="L19" s="3" cm="1">
        <f t="array" ref="L19">([1]!propssi("H", "T", 300, "Q", 1, F19) - [1]!propssi("H", "T", 300, "Q", 0, F19))</f>
        <v>359580.52959615353</v>
      </c>
      <c r="M19" s="3" cm="1">
        <f t="array" ref="M19">[1]!propssi("D", "T", $A$11, "Q", 0,  F19)</f>
        <v>577.44772881293193</v>
      </c>
      <c r="N19" s="6">
        <f t="shared" si="2"/>
        <v>1.7317584780456496E-3</v>
      </c>
      <c r="P19" s="3" cm="1">
        <f t="array" ref="P19">[1]!propssi("P", "T", $A$8, "Q", 1, F19)</f>
        <v>638236.04943654523</v>
      </c>
      <c r="Q19" s="3">
        <f t="shared" si="3"/>
        <v>212745.34981218175</v>
      </c>
      <c r="R19" s="3" cm="1">
        <f t="array" ref="R19">[1]!propssi("H", "P|gas", P19, "S", S19,  F19)</f>
        <v>737848.26652831072</v>
      </c>
      <c r="S19" s="3" cm="1">
        <f t="array" ref="S19">[1]!propssi("S", "P|gas", Q19, "T", $A$8,  F19)</f>
        <v>2646.7151523266907</v>
      </c>
      <c r="T19" s="3" cm="1">
        <f t="array" ref="T19">[1]!propssi("H", "P|gas", Q19, "S", S19, F19)</f>
        <v>686826.52007278753</v>
      </c>
      <c r="U19" s="3">
        <f t="shared" si="9"/>
        <v>51021.746455523185</v>
      </c>
      <c r="V19" s="3" cm="1">
        <f t="array" ref="V19">[1]!propssi("C", "T", $A$11, "P", P19, F19)</f>
        <v>2414.9883833956806</v>
      </c>
      <c r="W19" s="3" cm="1">
        <f t="array" ref="W19">[1]!propssi("D", "T", $A$8, "Q", 1,  F19)</f>
        <v>15.708825521534584</v>
      </c>
      <c r="Y19" s="4">
        <f t="shared" si="10"/>
        <v>3.2665809825219096E-4</v>
      </c>
      <c r="Z19" s="4">
        <f t="shared" si="0"/>
        <v>5.6569293107050045E-4</v>
      </c>
      <c r="AA19" s="5">
        <f t="shared" si="15"/>
        <v>3.3941575864230029E-2</v>
      </c>
      <c r="AB19" s="5">
        <f t="shared" si="16"/>
        <v>8.966413979205376E-3</v>
      </c>
      <c r="AD19" s="4">
        <f t="shared" si="6"/>
        <v>3.2665809825219096E-4</v>
      </c>
      <c r="AE19" s="4">
        <f t="shared" si="1"/>
        <v>2.0794558944230986E-2</v>
      </c>
      <c r="AF19" s="5">
        <f t="shared" si="7"/>
        <v>1.2476735366538592</v>
      </c>
      <c r="AG19" s="5">
        <f t="shared" si="8"/>
        <v>0.32960041352492331</v>
      </c>
    </row>
    <row r="20" spans="2:33" x14ac:dyDescent="0.55000000000000004">
      <c r="F20" t="s">
        <v>43</v>
      </c>
      <c r="I20" s="3" cm="1">
        <f t="array" ref="I20">[1]!propssi("P", "T", $A$11, "Q", 0, F20)</f>
        <v>205916.09662627947</v>
      </c>
      <c r="J20" s="3" cm="1">
        <f t="array" ref="J20">[1]!propssi("H", "T", $A$11, "Q", 0, F20)</f>
        <v>45652.949304684356</v>
      </c>
      <c r="K20" s="3"/>
      <c r="L20" s="3" cm="1">
        <f t="array" ref="L20">([1]!propssi("H", "T", 300, "Q", 1, F20) - [1]!propssi("H", "T", 300, "Q", 0, F20))</f>
        <v>379460.96053037111</v>
      </c>
      <c r="M20" s="3" cm="1">
        <f t="array" ref="M20">[1]!propssi("D", "T", $A$11, "Q", 0,  F20)</f>
        <v>603.31117296378534</v>
      </c>
      <c r="N20" s="6">
        <f t="shared" si="2"/>
        <v>1.657519444049856E-3</v>
      </c>
      <c r="P20" s="3" cm="1">
        <f t="array" ref="P20">[1]!propssi("P", "T", $A$8, "Q", 1, F20)</f>
        <v>622977.48159430665</v>
      </c>
      <c r="Q20" s="3">
        <f t="shared" si="3"/>
        <v>207659.16053143554</v>
      </c>
      <c r="R20" s="3" cm="1">
        <f t="array" ref="R20">[1]!propssi("H", "P|gas", P20, "S", S20,  F20)</f>
        <v>551039.26393933874</v>
      </c>
      <c r="S20" s="3" cm="1">
        <f t="array" ref="S20">[1]!propssi("S", "P|gas", Q20, "T", $A$8,  F20)</f>
        <v>1681.795295017841</v>
      </c>
      <c r="T20" s="3" cm="1">
        <f t="array" ref="T20">[1]!propssi("H", "P|gas", Q20, "S", S20, F20)</f>
        <v>497682.36012435186</v>
      </c>
      <c r="U20" s="3">
        <f t="shared" si="9"/>
        <v>53356.903814986872</v>
      </c>
      <c r="V20" s="3" cm="1">
        <f t="array" ref="V20">[1]!propssi("C", "T", $A$11, "P", P20, F20)</f>
        <v>2307.4107914302854</v>
      </c>
      <c r="W20" s="3" cm="1">
        <f t="array" ref="W20">[1]!propssi("D", "T", $A$8, "Q", 1,  F20)</f>
        <v>14.724895083492179</v>
      </c>
      <c r="Y20" s="4">
        <f t="shared" si="10"/>
        <v>3.1236195271857844E-4</v>
      </c>
      <c r="Z20" s="4">
        <f t="shared" si="0"/>
        <v>5.1774601021242555E-4</v>
      </c>
      <c r="AA20" s="5">
        <f t="shared" si="15"/>
        <v>3.1064760612745532E-2</v>
      </c>
      <c r="AB20" s="5">
        <f t="shared" si="16"/>
        <v>8.2064399405902128E-3</v>
      </c>
      <c r="AD20" s="4">
        <f t="shared" si="6"/>
        <v>3.1236195271857844E-4</v>
      </c>
      <c r="AE20" s="4">
        <f t="shared" si="1"/>
        <v>2.1213186983502649E-2</v>
      </c>
      <c r="AF20" s="5">
        <f t="shared" si="7"/>
        <v>1.2727912190101589</v>
      </c>
      <c r="AG20" s="5">
        <f t="shared" si="8"/>
        <v>0.33623580190835173</v>
      </c>
    </row>
    <row r="21" spans="2:33" x14ac:dyDescent="0.55000000000000004">
      <c r="F21" t="s">
        <v>8</v>
      </c>
      <c r="I21" s="3" cm="1">
        <f t="array" ref="I21">[1]!propssi("P", "T", $A$11, "Q", 0, F21)</f>
        <v>311480.39937904454</v>
      </c>
      <c r="J21" s="3"/>
      <c r="L21" s="3"/>
      <c r="M21" s="3"/>
      <c r="P21" s="3"/>
      <c r="Q21" s="3"/>
      <c r="T21" s="3"/>
      <c r="U21" s="3"/>
      <c r="Y21" s="4" t="e">
        <f>($A$5/(T21*$A$14))</f>
        <v>#DIV/0!</v>
      </c>
      <c r="Z21" s="4" t="e">
        <f t="shared" si="0"/>
        <v>#DIV/0!</v>
      </c>
      <c r="AA21" s="5" t="e">
        <f t="shared" si="15"/>
        <v>#DIV/0!</v>
      </c>
      <c r="AB21" s="5" t="e">
        <f t="shared" si="16"/>
        <v>#DIV/0!</v>
      </c>
      <c r="AD21" s="4" t="e">
        <f t="shared" si="6"/>
        <v>#DIV/0!</v>
      </c>
      <c r="AE21" s="4" t="e">
        <f t="shared" ref="AE21:AE27" si="17">(AD21/V21)*1000</f>
        <v>#DIV/0!</v>
      </c>
      <c r="AF21" s="5" t="e">
        <f t="shared" si="7"/>
        <v>#DIV/0!</v>
      </c>
      <c r="AG21" s="5" t="e">
        <f t="shared" si="8"/>
        <v>#DIV/0!</v>
      </c>
    </row>
    <row r="22" spans="2:33" x14ac:dyDescent="0.55000000000000004">
      <c r="I22" s="3"/>
      <c r="J22" s="3"/>
      <c r="K22" s="3"/>
      <c r="L22" s="3"/>
      <c r="M22" s="3"/>
      <c r="P22" s="3"/>
      <c r="Q22" s="3"/>
      <c r="T22" s="3"/>
      <c r="U22" s="3"/>
      <c r="Y22" s="4" t="e">
        <f t="shared" ref="Y22:Y27" si="18">($A$5/(T22*$A$14))</f>
        <v>#DIV/0!</v>
      </c>
      <c r="Z22" s="4" t="e">
        <f t="shared" si="0"/>
        <v>#DIV/0!</v>
      </c>
      <c r="AA22" s="5" t="e">
        <f t="shared" si="15"/>
        <v>#DIV/0!</v>
      </c>
      <c r="AB22" s="5" t="e">
        <f t="shared" si="16"/>
        <v>#DIV/0!</v>
      </c>
      <c r="AD22" s="4" t="e">
        <f t="shared" si="6"/>
        <v>#DIV/0!</v>
      </c>
      <c r="AE22" s="4" t="e">
        <f t="shared" si="17"/>
        <v>#DIV/0!</v>
      </c>
      <c r="AF22" s="5" t="e">
        <f t="shared" si="7"/>
        <v>#DIV/0!</v>
      </c>
      <c r="AG22" s="5" t="e">
        <f t="shared" si="8"/>
        <v>#DIV/0!</v>
      </c>
    </row>
    <row r="23" spans="2:33" x14ac:dyDescent="0.55000000000000004">
      <c r="B23" t="str" cm="1">
        <f t="array" ref="B23">[1]!PhaseSI("T",  A11, "P", 300000, "propane")</f>
        <v>gas</v>
      </c>
      <c r="I23" s="3"/>
      <c r="J23" s="3"/>
      <c r="K23" s="3"/>
      <c r="L23" s="3"/>
      <c r="M23" s="3"/>
      <c r="P23" s="3"/>
      <c r="Q23" s="3"/>
      <c r="T23" s="3"/>
      <c r="U23" s="3"/>
      <c r="Y23" s="4" t="e">
        <f t="shared" si="18"/>
        <v>#DIV/0!</v>
      </c>
      <c r="Z23" s="4" t="e">
        <f t="shared" si="0"/>
        <v>#DIV/0!</v>
      </c>
      <c r="AA23" s="5" t="e">
        <f t="shared" si="15"/>
        <v>#DIV/0!</v>
      </c>
      <c r="AB23" s="5" t="e">
        <f t="shared" si="16"/>
        <v>#DIV/0!</v>
      </c>
      <c r="AD23" s="4" t="e">
        <f t="shared" si="6"/>
        <v>#DIV/0!</v>
      </c>
      <c r="AE23" s="4" t="e">
        <f t="shared" si="17"/>
        <v>#DIV/0!</v>
      </c>
      <c r="AF23" s="5" t="e">
        <f t="shared" si="7"/>
        <v>#DIV/0!</v>
      </c>
      <c r="AG23" s="5" t="e">
        <f t="shared" si="8"/>
        <v>#DIV/0!</v>
      </c>
    </row>
    <row r="24" spans="2:33" x14ac:dyDescent="0.55000000000000004">
      <c r="B24" cm="1">
        <f t="array" ref="B24">[1]!propssi("Phase", "T", 200, "P", 100000, "propane")</f>
        <v>0</v>
      </c>
      <c r="I24" s="3"/>
      <c r="J24" s="3"/>
      <c r="K24" s="3"/>
      <c r="L24" s="3"/>
      <c r="M24" s="3"/>
      <c r="P24" s="3"/>
      <c r="Q24" s="3"/>
      <c r="T24" s="3"/>
      <c r="U24" s="3"/>
      <c r="Y24" s="4" t="e">
        <f t="shared" si="18"/>
        <v>#DIV/0!</v>
      </c>
      <c r="Z24" s="4" t="e">
        <f t="shared" si="0"/>
        <v>#DIV/0!</v>
      </c>
      <c r="AA24" s="5" t="e">
        <f t="shared" si="15"/>
        <v>#DIV/0!</v>
      </c>
      <c r="AB24" s="5" t="e">
        <f t="shared" si="16"/>
        <v>#DIV/0!</v>
      </c>
      <c r="AD24" s="4" t="e">
        <f t="shared" si="6"/>
        <v>#DIV/0!</v>
      </c>
      <c r="AE24" s="4" t="e">
        <f t="shared" si="17"/>
        <v>#DIV/0!</v>
      </c>
      <c r="AF24" s="5" t="e">
        <f t="shared" si="7"/>
        <v>#DIV/0!</v>
      </c>
      <c r="AG24" s="5" t="e">
        <f t="shared" si="8"/>
        <v>#DIV/0!</v>
      </c>
    </row>
    <row r="25" spans="2:33" x14ac:dyDescent="0.55000000000000004">
      <c r="B25" t="s">
        <v>33</v>
      </c>
      <c r="H25" t="s">
        <v>48</v>
      </c>
      <c r="I25" s="3">
        <v>30000</v>
      </c>
      <c r="J25" s="3"/>
      <c r="K25" s="3"/>
      <c r="L25" s="3"/>
      <c r="M25" s="3"/>
      <c r="P25" s="3"/>
      <c r="T25" s="3"/>
      <c r="U25" s="3"/>
      <c r="Y25" s="4" t="e">
        <f t="shared" si="18"/>
        <v>#DIV/0!</v>
      </c>
      <c r="Z25" s="4" t="e">
        <f t="shared" si="0"/>
        <v>#DIV/0!</v>
      </c>
      <c r="AA25" s="5" t="e">
        <f t="shared" si="15"/>
        <v>#DIV/0!</v>
      </c>
      <c r="AB25" s="5" t="e">
        <f t="shared" si="16"/>
        <v>#DIV/0!</v>
      </c>
      <c r="AD25" s="4" t="e">
        <f t="shared" si="6"/>
        <v>#DIV/0!</v>
      </c>
      <c r="AE25" s="4" t="e">
        <f t="shared" si="17"/>
        <v>#DIV/0!</v>
      </c>
      <c r="AF25" s="5" t="e">
        <f t="shared" si="7"/>
        <v>#DIV/0!</v>
      </c>
      <c r="AG25" s="5" t="e">
        <f t="shared" si="8"/>
        <v>#DIV/0!</v>
      </c>
    </row>
    <row r="26" spans="2:33" x14ac:dyDescent="0.55000000000000004">
      <c r="B26" t="s">
        <v>32</v>
      </c>
      <c r="I26" s="3" t="str" cm="1">
        <f t="array" ref="I26">[1]!propssi("H", "T", 300, "Q", 0, "REFPROP::Nitrogen")</f>
        <v>Initialize failed for backend: "REFPROP", fluid: "Nitrogen" fractions "[ 1.0000000000 ]"; error: You cannot use the REFPROPMixtureBackend. : PropsSI("H","T",300,"Q",0,"REFPROP::Nitrogen")</v>
      </c>
      <c r="J26" s="3"/>
      <c r="K26" s="3"/>
      <c r="L26" s="3"/>
      <c r="M26" s="3"/>
      <c r="P26" s="3"/>
      <c r="T26" s="3"/>
      <c r="U26" s="3"/>
      <c r="Y26" s="4" t="e">
        <f t="shared" si="18"/>
        <v>#DIV/0!</v>
      </c>
      <c r="Z26" s="4" t="e">
        <f t="shared" si="0"/>
        <v>#DIV/0!</v>
      </c>
      <c r="AA26" s="5" t="e">
        <f t="shared" si="15"/>
        <v>#DIV/0!</v>
      </c>
      <c r="AB26" s="5" t="e">
        <f t="shared" si="16"/>
        <v>#DIV/0!</v>
      </c>
      <c r="AD26" s="4" t="e">
        <f t="shared" si="6"/>
        <v>#DIV/0!</v>
      </c>
      <c r="AE26" s="4" t="e">
        <f t="shared" si="17"/>
        <v>#DIV/0!</v>
      </c>
      <c r="AF26" s="5" t="e">
        <f t="shared" si="7"/>
        <v>#DIV/0!</v>
      </c>
      <c r="AG26" s="5" t="e">
        <f t="shared" si="8"/>
        <v>#DIV/0!</v>
      </c>
    </row>
    <row r="27" spans="2:33" x14ac:dyDescent="0.55000000000000004">
      <c r="I27" s="3" cm="1">
        <f t="array" ref="I27">[1]!propssi("H", "T", 300, "Q", 0, "water")</f>
        <v>112564.85985348356</v>
      </c>
      <c r="J27" s="3" t="e" cm="1">
        <f t="array" ref="J27">[1]!propssi("Q", "P", I26, "H", (I27+I25), "water")</f>
        <v>#VALUE!</v>
      </c>
      <c r="K27" s="3"/>
      <c r="L27" s="3"/>
      <c r="M27" s="3"/>
      <c r="P27" s="3"/>
      <c r="T27" s="3"/>
      <c r="U27" s="3"/>
      <c r="Y27" s="4" t="e">
        <f t="shared" si="18"/>
        <v>#DIV/0!</v>
      </c>
      <c r="Z27" s="4" t="e">
        <f t="shared" si="0"/>
        <v>#DIV/0!</v>
      </c>
      <c r="AA27" s="5" t="e">
        <f t="shared" si="15"/>
        <v>#DIV/0!</v>
      </c>
      <c r="AB27" s="5" t="e">
        <f t="shared" si="16"/>
        <v>#DIV/0!</v>
      </c>
      <c r="AD27" s="4" t="e">
        <f t="shared" si="6"/>
        <v>#DIV/0!</v>
      </c>
      <c r="AE27" s="4" t="e">
        <f t="shared" si="17"/>
        <v>#DIV/0!</v>
      </c>
      <c r="AF27" s="5" t="e">
        <f t="shared" si="7"/>
        <v>#DIV/0!</v>
      </c>
      <c r="AG27" s="5" t="e">
        <f t="shared" si="8"/>
        <v>#DIV/0!</v>
      </c>
    </row>
    <row r="28" spans="2:33" x14ac:dyDescent="0.55000000000000004">
      <c r="O28" s="3"/>
    </row>
    <row r="32" spans="2:33" x14ac:dyDescent="0.55000000000000004">
      <c r="D32" cm="1">
        <f t="array" ref="D32:D41">_xlfn.SEQUENCE(10, 1, 0, 0.1)</f>
        <v>0</v>
      </c>
      <c r="E32">
        <f>1-D32</f>
        <v>1</v>
      </c>
      <c r="F32" s="1" t="str">
        <f>_xlfn.CONCAT("Propane[",D32, "]&amp;Butane[", E32, "]")</f>
        <v>Propane[0]&amp;Butane[1]</v>
      </c>
      <c r="I32" s="3" cm="1">
        <f t="array" ref="I32">[1]!propssi("P", "T", $A$11, "Q", 0, F32)</f>
        <v>214436.41985243667</v>
      </c>
      <c r="J32" s="3" cm="1">
        <f t="array" ref="J32">[1]!propssi("H", "T", $A$11, "Q", 0, F32)</f>
        <v>249723.1896252672</v>
      </c>
      <c r="K32" s="3" t="str" cm="1">
        <f t="array" ref="K32">[1]!propssi("C", "T", $A$11, "P", I32, F32)</f>
        <v>Saturation pressure [214436 Pa] corresponding to T [294.15 K] is within 1e-4 % of given p [214436 Pa] : PropsSI("C","T",294.15,"P",214436.4199,"Propane[0]&amp;Butane[1]")</v>
      </c>
      <c r="L32" s="3" cm="1">
        <f t="array" ref="L32">([1]!propssi("H", "T", 300, "Q", 1, F32) - [1]!propssi("H", "T", 300, "Q", 0, F32))</f>
        <v>359580.52959615353</v>
      </c>
      <c r="M32" s="3" cm="1">
        <f t="array" ref="M32">[1]!propssi("D", "T", $A$11, "Q", 0,  F32)</f>
        <v>577.44772881293193</v>
      </c>
      <c r="O32" s="3" cm="1">
        <f t="array" ref="O32">[1]!propssi("P", "T", $A$8, "Q", 1, F32)</f>
        <v>638236.04943654523</v>
      </c>
      <c r="R32" t="e" cm="1">
        <f t="array" ref="R32">[1]!propssi("H", "P",#REF!, "Q", 1, F32)</f>
        <v>#VALUE!</v>
      </c>
      <c r="S32" s="3" t="e">
        <f>#REF!-R32</f>
        <v>#REF!</v>
      </c>
      <c r="T32" s="3" cm="1">
        <f t="array" ref="T32">[1]!propssi("C", "T", $A$11, "P", O32, F32)</f>
        <v>2414.9883833956806</v>
      </c>
      <c r="U32" s="3"/>
      <c r="X32" s="4" t="e">
        <f t="shared" ref="X32:X41" si="19">($A$5/(S32*$A$14))</f>
        <v>#REF!</v>
      </c>
      <c r="Y32" s="4" t="e">
        <f t="shared" ref="Y32:Y41" si="20">(X32/M32)*1000</f>
        <v>#REF!</v>
      </c>
      <c r="Z32" s="5" t="e">
        <f t="shared" ref="Z32:Z41" si="21">Y32*60</f>
        <v>#REF!</v>
      </c>
      <c r="AA32" s="5" t="e">
        <f t="shared" ref="AA32:AA41" si="22">Z32*0.264172</f>
        <v>#REF!</v>
      </c>
    </row>
    <row r="33" spans="4:27" x14ac:dyDescent="0.55000000000000004">
      <c r="D33">
        <v>0.1</v>
      </c>
      <c r="E33">
        <f t="shared" ref="E33:E41" si="23">1-D33</f>
        <v>0.9</v>
      </c>
      <c r="F33" s="1" t="str">
        <f t="shared" ref="F33:F41" si="24">_xlfn.CONCAT("Propane[",D33, "]&amp;Butane[", E33, "]")</f>
        <v>Propane[0.1]&amp;Butane[0.9]</v>
      </c>
      <c r="I33" s="3" cm="1">
        <f t="array" ref="I33">[1]!propssi("P", "T", $A$11, "Q", 0, F33)</f>
        <v>272689.65638899617</v>
      </c>
      <c r="J33" s="3" cm="1">
        <f t="array" ref="J33">[1]!propssi("H", "T", $A$11, "Q", 0, F33)</f>
        <v>249767.23980558111</v>
      </c>
      <c r="K33" s="3" cm="1">
        <f t="array" ref="K33">[1]!propssi("C", "T", $A$11, "P", I33, F33)</f>
        <v>2432.5232103837502</v>
      </c>
      <c r="L33" s="3" cm="1">
        <f t="array" ref="L33">([1]!propssi("H", "T", 300, "Q", 1, F33) - [1]!propssi("H", "T", 300, "Q", 0, F33))</f>
        <v>359025.24912153924</v>
      </c>
      <c r="M33" s="3" cm="1">
        <f t="array" ref="M33">[1]!propssi("D", "T", $A$11, "Q", 0,  F33)</f>
        <v>571.31882185131997</v>
      </c>
      <c r="O33" s="3" cm="1">
        <f t="array" ref="O33">[1]!propssi("P", "T", $A$8, "Q", 1, F33)</f>
        <v>689320.67451106431</v>
      </c>
      <c r="R33" t="e" cm="1">
        <f t="array" ref="R33">[1]!propssi("H", "P",#REF!, "Q", 1, F33)</f>
        <v>#VALUE!</v>
      </c>
      <c r="S33" s="3" t="e">
        <f>#REF!-R33</f>
        <v>#REF!</v>
      </c>
      <c r="T33" s="3" cm="1">
        <f t="array" ref="T33">[1]!propssi("C", "T", $A$11, "P", O33, F33)</f>
        <v>2428.9355030055222</v>
      </c>
      <c r="U33" s="3"/>
      <c r="X33" s="4" t="e">
        <f t="shared" si="19"/>
        <v>#REF!</v>
      </c>
      <c r="Y33" s="4" t="e">
        <f t="shared" si="20"/>
        <v>#REF!</v>
      </c>
      <c r="Z33" s="5" t="e">
        <f t="shared" si="21"/>
        <v>#REF!</v>
      </c>
      <c r="AA33" s="5" t="e">
        <f t="shared" si="22"/>
        <v>#REF!</v>
      </c>
    </row>
    <row r="34" spans="4:27" x14ac:dyDescent="0.55000000000000004">
      <c r="D34">
        <v>0.2</v>
      </c>
      <c r="E34">
        <f t="shared" si="23"/>
        <v>0.8</v>
      </c>
      <c r="F34" s="1" t="str">
        <f t="shared" si="24"/>
        <v>Propane[0.2]&amp;Butane[0.8]</v>
      </c>
      <c r="I34" s="3" cm="1">
        <f t="array" ref="I34">[1]!propssi("P", "T", $A$11, "Q", 0, F34)</f>
        <v>332467.65308741573</v>
      </c>
      <c r="J34" s="3" cm="1">
        <f t="array" ref="J34">[1]!propssi("H", "T", $A$11, "Q", 0, F34)</f>
        <v>249890.74320386836</v>
      </c>
      <c r="K34" s="3" cm="1">
        <f t="array" ref="K34">[1]!propssi("C", "T", $A$11, "P", I34, F34)</f>
        <v>2448.2319263041854</v>
      </c>
      <c r="L34" s="3" cm="1">
        <f t="array" ref="L34">([1]!propssi("H", "T", 300, "Q", 1, F34) - [1]!propssi("H", "T", 300, "Q", 0, F34))</f>
        <v>358278.09705879103</v>
      </c>
      <c r="M34" s="3" cm="1">
        <f t="array" ref="M34">[1]!propssi("D", "T", $A$11, "Q", 0,  F34)</f>
        <v>564.86147619289841</v>
      </c>
      <c r="O34" s="3" cm="1">
        <f t="array" ref="O34">[1]!propssi("P", "T", $A$8, "Q", 1, F34)</f>
        <v>748945.26607240853</v>
      </c>
      <c r="R34" t="e" cm="1">
        <f t="array" ref="R34">[1]!propssi("H", "P",#REF!, "Q", 1, F34)</f>
        <v>#VALUE!</v>
      </c>
      <c r="S34" s="3" t="e">
        <f>#REF!-R34</f>
        <v>#REF!</v>
      </c>
      <c r="T34" s="3" cm="1">
        <f t="array" ref="T34">[1]!propssi("C", "T", $A$11, "P", O34, F34)</f>
        <v>2444.2854506767349</v>
      </c>
      <c r="U34" s="3"/>
      <c r="X34" s="4" t="e">
        <f t="shared" si="19"/>
        <v>#REF!</v>
      </c>
      <c r="Y34" s="4" t="e">
        <f t="shared" si="20"/>
        <v>#REF!</v>
      </c>
      <c r="Z34" s="5" t="e">
        <f t="shared" si="21"/>
        <v>#REF!</v>
      </c>
      <c r="AA34" s="5" t="e">
        <f t="shared" si="22"/>
        <v>#REF!</v>
      </c>
    </row>
    <row r="35" spans="4:27" x14ac:dyDescent="0.55000000000000004">
      <c r="D35">
        <v>0.30000000000000004</v>
      </c>
      <c r="E35">
        <f t="shared" si="23"/>
        <v>0.7</v>
      </c>
      <c r="F35" s="1" t="str">
        <f t="shared" si="24"/>
        <v>Propane[0.3]&amp;Butane[0.7]</v>
      </c>
      <c r="I35" s="3" cm="1">
        <f t="array" ref="I35">[1]!propssi("P", "T", $A$11, "Q", 0, F35)</f>
        <v>393602.86866001226</v>
      </c>
      <c r="J35" s="3" cm="1">
        <f t="array" ref="J35">[1]!propssi("H", "T", $A$11, "Q", 0, F35)</f>
        <v>250095.85066508575</v>
      </c>
      <c r="K35" s="3" cm="1">
        <f t="array" ref="K35">[1]!propssi("C", "T", $A$11, "P", I35, F35)</f>
        <v>2465.6963806707336</v>
      </c>
      <c r="L35" s="3" cm="1">
        <f t="array" ref="L35">([1]!propssi("H", "T", 300, "Q", 1, F35) - [1]!propssi("H", "T", 300, "Q", 0, F35))</f>
        <v>357302.67472796654</v>
      </c>
      <c r="M35" s="3" cm="1">
        <f t="array" ref="M35">[1]!propssi("D", "T", $A$11, "Q", 0,  F35)</f>
        <v>558.05777178948847</v>
      </c>
      <c r="O35" s="3" cm="1">
        <f t="array" ref="O35">[1]!propssi("P", "T", $A$8, "Q", 1, F35)</f>
        <v>819379.93808856362</v>
      </c>
      <c r="R35" t="e" cm="1">
        <f t="array" ref="R35">[1]!propssi("H", "P",#REF!, "Q", 1, F35)</f>
        <v>#VALUE!</v>
      </c>
      <c r="S35" s="3" t="e">
        <f>#REF!-R35</f>
        <v>#REF!</v>
      </c>
      <c r="T35" s="3" cm="1">
        <f t="array" ref="T35">[1]!propssi("C", "T", $A$11, "P", O35, F35)</f>
        <v>2461.230104110603</v>
      </c>
      <c r="U35" s="3"/>
      <c r="X35" s="4" t="e">
        <f t="shared" si="19"/>
        <v>#REF!</v>
      </c>
      <c r="Y35" s="4" t="e">
        <f t="shared" si="20"/>
        <v>#REF!</v>
      </c>
      <c r="Z35" s="5" t="e">
        <f t="shared" si="21"/>
        <v>#REF!</v>
      </c>
      <c r="AA35" s="5" t="e">
        <f t="shared" si="22"/>
        <v>#REF!</v>
      </c>
    </row>
    <row r="36" spans="4:27" x14ac:dyDescent="0.55000000000000004">
      <c r="D36">
        <v>0.4</v>
      </c>
      <c r="E36">
        <f t="shared" si="23"/>
        <v>0.6</v>
      </c>
      <c r="F36" s="1" t="str">
        <f t="shared" si="24"/>
        <v>Propane[0.4]&amp;Butane[0.6]</v>
      </c>
      <c r="I36" s="3" cm="1">
        <f t="array" ref="I36">[1]!propssi("P", "T", $A$11, "Q", 0, F36)</f>
        <v>455982.90820880607</v>
      </c>
      <c r="J36" s="3" cm="1">
        <f t="array" ref="J36">[1]!propssi("H", "T", $A$11, "Q", 0, F36)</f>
        <v>250385.34223406151</v>
      </c>
      <c r="K36" s="3" cm="1">
        <f t="array" ref="K36">[1]!propssi("C", "T", $A$11, "P", I36, F36)</f>
        <v>2485.2227650707396</v>
      </c>
      <c r="L36" s="3" cm="1">
        <f t="array" ref="L36">([1]!propssi("H", "T", 300, "Q", 1, F36) - [1]!propssi("H", "T", 300, "Q", 0, F36))</f>
        <v>356047.00954180618</v>
      </c>
      <c r="M36" s="3" cm="1">
        <f t="array" ref="M36">[1]!propssi("D", "T", $A$11, "Q", 0,  F36)</f>
        <v>550.88734255513691</v>
      </c>
      <c r="O36" s="3" cm="1">
        <f t="array" ref="O36">[1]!propssi("P", "T", $A$8, "Q", 1, F36)</f>
        <v>903739.01077275036</v>
      </c>
      <c r="R36" t="e" cm="1">
        <f t="array" ref="R36">[1]!propssi("H", "P",#REF!, "Q", 1, F36)</f>
        <v>#VALUE!</v>
      </c>
      <c r="S36" s="3" t="e">
        <f>#REF!-R36</f>
        <v>#REF!</v>
      </c>
      <c r="T36" s="3" cm="1">
        <f t="array" ref="T36">[1]!propssi("C", "T", $A$11, "P", O36, F36)</f>
        <v>2479.9896411852405</v>
      </c>
      <c r="U36" s="3"/>
      <c r="X36" s="4" t="e">
        <f t="shared" si="19"/>
        <v>#REF!</v>
      </c>
      <c r="Y36" s="4" t="e">
        <f t="shared" si="20"/>
        <v>#REF!</v>
      </c>
      <c r="Z36" s="5" t="e">
        <f t="shared" si="21"/>
        <v>#REF!</v>
      </c>
      <c r="AA36" s="5" t="e">
        <f t="shared" si="22"/>
        <v>#REF!</v>
      </c>
    </row>
    <row r="37" spans="4:27" x14ac:dyDescent="0.55000000000000004">
      <c r="D37">
        <v>0.5</v>
      </c>
      <c r="E37">
        <f t="shared" si="23"/>
        <v>0.5</v>
      </c>
      <c r="F37" s="1" t="str">
        <f t="shared" si="24"/>
        <v>Propane[0.5]&amp;Butane[0.5]</v>
      </c>
      <c r="I37" s="3" cm="1">
        <f t="array" ref="I37">[1]!propssi("P", "T", $A$11, "Q", 0, F37)</f>
        <v>519556.64362151432</v>
      </c>
      <c r="J37" s="3" cm="1">
        <f t="array" ref="J37">[1]!propssi("H", "T", $A$11, "Q", 0, F37)</f>
        <v>250763.46362825582</v>
      </c>
      <c r="K37" s="3" cm="1">
        <f t="array" ref="K37">[1]!propssi("C", "T", $A$11, "P", I37, F37)</f>
        <v>2507.1922184581772</v>
      </c>
      <c r="L37" s="3" cm="1">
        <f t="array" ref="L37">([1]!propssi("H", "T", 300, "Q", 1, F37) - [1]!propssi("H", "T", 300, "Q", 0, F37))</f>
        <v>354433.62587371358</v>
      </c>
      <c r="M37" s="3" cm="1">
        <f t="array" ref="M37">[1]!propssi("D", "T", $A$11, "Q", 0,  F37)</f>
        <v>543.32685002070934</v>
      </c>
      <c r="O37" s="3" cm="1">
        <f t="array" ref="O37">[1]!propssi("P", "T", $A$8, "Q", 1, F37)</f>
        <v>1006373.8581919897</v>
      </c>
      <c r="R37" t="e" cm="1">
        <f t="array" ref="R37">[1]!propssi("H", "P",#REF!, "Q", 1, F37)</f>
        <v>#VALUE!</v>
      </c>
      <c r="S37" s="3" t="e">
        <f>#REF!-R37</f>
        <v>#REF!</v>
      </c>
      <c r="T37" s="3" cm="1">
        <f t="array" ref="T37">[1]!propssi("C", "T", $A$11, "P", O37, F37)</f>
        <v>2500.8083638656854</v>
      </c>
      <c r="U37" s="3"/>
      <c r="X37" s="4" t="e">
        <f t="shared" si="19"/>
        <v>#REF!</v>
      </c>
      <c r="Y37" s="4" t="e">
        <f t="shared" si="20"/>
        <v>#REF!</v>
      </c>
      <c r="Z37" s="5" t="e">
        <f t="shared" si="21"/>
        <v>#REF!</v>
      </c>
      <c r="AA37" s="5" t="e">
        <f t="shared" si="22"/>
        <v>#REF!</v>
      </c>
    </row>
    <row r="38" spans="4:27" x14ac:dyDescent="0.55000000000000004">
      <c r="D38">
        <v>0.6</v>
      </c>
      <c r="E38">
        <f t="shared" si="23"/>
        <v>0.4</v>
      </c>
      <c r="F38" s="1" t="str">
        <f t="shared" si="24"/>
        <v>Propane[0.6]&amp;Butane[0.4]</v>
      </c>
      <c r="I38" s="3" cm="1">
        <f t="array" ref="I38">[1]!propssi("P", "T", $A$11, "Q", 0, F38)</f>
        <v>584340.43565928843</v>
      </c>
      <c r="J38" s="3" cm="1">
        <f t="array" ref="J38">[1]!propssi("H", "T", $A$11, "Q", 0, F38)</f>
        <v>251236.39028052773</v>
      </c>
      <c r="K38" s="3" cm="1">
        <f t="array" ref="K38">[1]!propssi("C", "T", $A$11, "P", I38, F38)</f>
        <v>2532.0846860709507</v>
      </c>
      <c r="L38" s="3" cm="1">
        <f t="array" ref="L38">([1]!propssi("H", "T", 300, "Q", 1, F38) - [1]!propssi("H", "T", 300, "Q", 0, F38))</f>
        <v>352342.80895211716</v>
      </c>
      <c r="M38" s="3" cm="1">
        <f t="array" ref="M38">[1]!propssi("D", "T", $A$11, "Q", 0,  F38)</f>
        <v>535.34929571304019</v>
      </c>
      <c r="O38" s="3" cm="1">
        <f t="array" ref="O38">[1]!propssi("P", "T", $A$8, "Q", 1, F38)</f>
        <v>1133465.913309525</v>
      </c>
      <c r="R38" t="e" cm="1">
        <f t="array" ref="R38">[1]!propssi("H", "P",#REF!, "Q", 1, F38)</f>
        <v>#VALUE!</v>
      </c>
      <c r="S38" s="3" t="e">
        <f>#REF!-R38</f>
        <v>#REF!</v>
      </c>
      <c r="T38" s="3" cm="1">
        <f t="array" ref="T38">[1]!propssi("C", "T", $A$11, "P", O38, F38)</f>
        <v>2523.9440069917305</v>
      </c>
      <c r="U38" s="3"/>
      <c r="X38" s="4" t="e">
        <f t="shared" si="19"/>
        <v>#REF!</v>
      </c>
      <c r="Y38" s="4" t="e">
        <f t="shared" si="20"/>
        <v>#REF!</v>
      </c>
      <c r="Z38" s="5" t="e">
        <f t="shared" si="21"/>
        <v>#REF!</v>
      </c>
      <c r="AA38" s="5" t="e">
        <f t="shared" si="22"/>
        <v>#REF!</v>
      </c>
    </row>
    <row r="39" spans="4:27" x14ac:dyDescent="0.55000000000000004">
      <c r="D39">
        <v>0.7</v>
      </c>
      <c r="E39">
        <f t="shared" si="23"/>
        <v>0.30000000000000004</v>
      </c>
      <c r="F39" s="1" t="str">
        <f t="shared" si="24"/>
        <v>Propane[0.7]&amp;Butane[0.3]</v>
      </c>
      <c r="I39" s="3" cm="1">
        <f t="array" ref="I39">[1]!propssi("P", "T", $A$11, "Q", 0, F39)</f>
        <v>650425.07602560148</v>
      </c>
      <c r="J39" s="3" cm="1">
        <f t="array" ref="J39">[1]!propssi("H", "T", $A$11, "Q", 0, F39)</f>
        <v>251812.85747830343</v>
      </c>
      <c r="K39" s="3" cm="1">
        <f t="array" ref="K39">[1]!propssi("C", "T", $A$11, "P", I39, F39)</f>
        <v>2560.5129388798264</v>
      </c>
      <c r="L39" s="3" cm="1">
        <f t="array" ref="L39">([1]!propssi("H", "T", 300, "Q", 1, F39) - [1]!propssi("H", "T", 300, "Q", 0, F39))</f>
        <v>349581.24903103919</v>
      </c>
      <c r="M39" s="3" cm="1">
        <f t="array" ref="M39">[1]!propssi("D", "T", $A$11, "Q", 0,  F39)</f>
        <v>526.92310787247072</v>
      </c>
      <c r="O39" s="3" cm="1">
        <f t="array" ref="O39">[1]!propssi("P", "T", $A$8, "Q", 1, F39)</f>
        <v>1293875.642488918</v>
      </c>
      <c r="R39" t="e" cm="1">
        <f t="array" ref="R39">[1]!propssi("H", "P",#REF!, "Q", 1, F39)</f>
        <v>#VALUE!</v>
      </c>
      <c r="S39" s="3" t="e">
        <f>#REF!-R39</f>
        <v>#REF!</v>
      </c>
      <c r="T39" s="3" cm="1">
        <f t="array" ref="T39">[1]!propssi("C", "T", $A$11, "P", O39, F39)</f>
        <v>2549.6420959158522</v>
      </c>
      <c r="U39" s="3"/>
      <c r="X39" s="4" t="e">
        <f t="shared" si="19"/>
        <v>#REF!</v>
      </c>
      <c r="Y39" s="4" t="e">
        <f t="shared" si="20"/>
        <v>#REF!</v>
      </c>
      <c r="Z39" s="5" t="e">
        <f t="shared" si="21"/>
        <v>#REF!</v>
      </c>
      <c r="AA39" s="5" t="e">
        <f t="shared" si="22"/>
        <v>#REF!</v>
      </c>
    </row>
    <row r="40" spans="4:27" x14ac:dyDescent="0.55000000000000004">
      <c r="D40">
        <v>0.79999999999999993</v>
      </c>
      <c r="E40">
        <f t="shared" si="23"/>
        <v>0.20000000000000007</v>
      </c>
      <c r="F40" s="1" t="str">
        <f t="shared" si="24"/>
        <v>Propane[0.8]&amp;Butane[0.2]</v>
      </c>
      <c r="I40" s="3" cm="1">
        <f t="array" ref="I40">[1]!propssi("P", "T", $A$11, "Q", 0, F40)</f>
        <v>717984.30807646248</v>
      </c>
      <c r="J40" s="3" cm="1">
        <f t="array" ref="J40">[1]!propssi("H", "T", $A$11, "Q", 0, F40)</f>
        <v>252505.03169176541</v>
      </c>
      <c r="K40" s="3" cm="1">
        <f t="array" ref="K40">[1]!propssi("C", "T", $A$11, "P", I40, F40)</f>
        <v>2593.2723797658805</v>
      </c>
      <c r="L40" s="3" cm="1">
        <f t="array" ref="L40">([1]!propssi("H", "T", 300, "Q", 1, F40) - [1]!propssi("H", "T", 300, "Q", 0, F40))</f>
        <v>345820.3623773671</v>
      </c>
      <c r="M40" s="3" cm="1">
        <f t="array" ref="M40">[1]!propssi("D", "T", $A$11, "Q", 0,  F40)</f>
        <v>518.01090338424478</v>
      </c>
      <c r="O40" s="3" cm="1">
        <f t="array" ref="O40">[1]!propssi("P", "T", $A$8, "Q", 1, F40)</f>
        <v>1500149.4466336994</v>
      </c>
      <c r="R40" t="e" cm="1">
        <f t="array" ref="R40">[1]!propssi("H", "P",#REF!, "Q", 1, F40)</f>
        <v>#VALUE!</v>
      </c>
      <c r="S40" s="3" t="e">
        <f>#REF!-R40</f>
        <v>#REF!</v>
      </c>
      <c r="T40" s="3" cm="1">
        <f t="array" ref="T40">[1]!propssi("C", "T", $A$11, "P", O40, F40)</f>
        <v>2578.0862129751163</v>
      </c>
      <c r="U40" s="3"/>
      <c r="X40" s="4" t="e">
        <f t="shared" si="19"/>
        <v>#REF!</v>
      </c>
      <c r="Y40" s="4" t="e">
        <f t="shared" si="20"/>
        <v>#REF!</v>
      </c>
      <c r="Z40" s="5" t="e">
        <f t="shared" si="21"/>
        <v>#REF!</v>
      </c>
      <c r="AA40" s="5" t="e">
        <f t="shared" si="22"/>
        <v>#REF!</v>
      </c>
    </row>
    <row r="41" spans="4:27" x14ac:dyDescent="0.55000000000000004">
      <c r="D41">
        <v>0.89999999999999991</v>
      </c>
      <c r="E41">
        <f t="shared" si="23"/>
        <v>0.10000000000000009</v>
      </c>
      <c r="F41" s="1" t="str">
        <f t="shared" si="24"/>
        <v>Propane[0.9]&amp;Butane[0.1]</v>
      </c>
      <c r="I41" s="3" cm="1">
        <f t="array" ref="I41">[1]!propssi("P", "T", $A$11, "Q", 0, F41)</f>
        <v>787286.14372516971</v>
      </c>
      <c r="J41" s="3" cm="1">
        <f t="array" ref="J41">[1]!propssi("H", "T", $A$11, "Q", 0, F41)</f>
        <v>253329.74091485509</v>
      </c>
      <c r="K41" s="3" cm="1">
        <f t="array" ref="K41">[1]!propssi("C", "T", $A$11, "P", I41, F41)</f>
        <v>2631.4161774472623</v>
      </c>
      <c r="L41" s="3" cm="1">
        <f t="array" ref="L41">([1]!propssi("H", "T", 300, "Q", 1, F41) - [1]!propssi("H", "T", 300, "Q", 0, F41))</f>
        <v>340471.6280641153</v>
      </c>
      <c r="M41" s="3" cm="1">
        <f t="array" ref="M41">[1]!propssi("D", "T", $A$11, "Q", 0,  F41)</f>
        <v>508.56776885886705</v>
      </c>
      <c r="O41" s="3" cm="1">
        <f t="array" ref="O41">[1]!propssi("P", "T", $A$8, "Q", 1, F41)</f>
        <v>1768839.8261787721</v>
      </c>
      <c r="R41" t="e" cm="1">
        <f t="array" ref="R41">[1]!propssi("H", "P",#REF!, "Q", 1, F41)</f>
        <v>#VALUE!</v>
      </c>
      <c r="S41" s="3" t="e">
        <f>#REF!-R41</f>
        <v>#REF!</v>
      </c>
      <c r="T41" s="3" cm="1">
        <f t="array" ref="T41">[1]!propssi("C", "T", $A$11, "P", O41, F41)</f>
        <v>2609.3273542680345</v>
      </c>
      <c r="U41" s="3"/>
      <c r="X41" s="4" t="e">
        <f t="shared" si="19"/>
        <v>#REF!</v>
      </c>
      <c r="Y41" s="4" t="e">
        <f t="shared" si="20"/>
        <v>#REF!</v>
      </c>
      <c r="Z41" s="5" t="e">
        <f t="shared" si="21"/>
        <v>#REF!</v>
      </c>
      <c r="AA41" s="5" t="e">
        <f t="shared" si="22"/>
        <v>#REF!</v>
      </c>
    </row>
    <row r="65" spans="8:8" x14ac:dyDescent="0.55000000000000004">
      <c r="H65" cm="1">
        <f t="array" ref="H65">[1]!propssi("T", "P", 101100, "Q", 0, "water")</f>
        <v>373.06202524905456</v>
      </c>
    </row>
  </sheetData>
  <mergeCells count="3">
    <mergeCell ref="I1:L1"/>
    <mergeCell ref="O1:R1"/>
    <mergeCell ref="U1:W1"/>
  </mergeCells>
  <phoneticPr fontId="1" type="noConversion"/>
  <conditionalFormatting sqref="I32:I41 I3:I27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J41 J3:J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:K41 K4:K20 K22:K27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:L41 L3:L2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2:O41 O28 P3:P27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0 R21:R22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Q24 R3:R20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:S27 R32:R41 T2:T20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:T27 S32:S41 U2:U2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:U27 T32:T41 V3:V20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2:U41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27 X32:X41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2024-12-09T14:07:18Z</dcterms:created>
  <dcterms:modified xsi:type="dcterms:W3CDTF">2025-07-17T23:36:59Z</dcterms:modified>
</cp:coreProperties>
</file>